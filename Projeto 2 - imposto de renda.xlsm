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sus\Documents\Bootcamp excel + ia\"/>
    </mc:Choice>
  </mc:AlternateContent>
  <xr:revisionPtr revIDLastSave="0" documentId="13_ncr:1_{0C3515D2-4306-4462-8883-7DCF123ECF70}" xr6:coauthVersionLast="47" xr6:coauthVersionMax="47" xr10:uidLastSave="{00000000-0000-0000-0000-000000000000}"/>
  <bookViews>
    <workbookView xWindow="-120" yWindow="-120" windowWidth="20730" windowHeight="11040" tabRatio="705" xr2:uid="{274378E1-65D6-459D-B734-2AD4312E0522}"/>
  </bookViews>
  <sheets>
    <sheet name="PÁGINA INICIAL" sheetId="12" r:id="rId1"/>
    <sheet name="TITULAR" sheetId="1" r:id="rId2"/>
    <sheet name="INFORMES" sheetId="8" r:id="rId3"/>
    <sheet name="ENTRADAS" sheetId="9" r:id="rId4"/>
    <sheet name="DESPESAS DEDUTIVEIS" sheetId="15" r:id="rId5"/>
    <sheet name="RESUMO FINAL" sheetId="13" r:id="rId6"/>
    <sheet name="Anotações" sheetId="2" state="hidden" r:id="rId7"/>
    <sheet name="Tabelas" sheetId="10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9" i="13" l="1"/>
  <c r="C18" i="13"/>
  <c r="C17" i="13"/>
  <c r="C16" i="13"/>
  <c r="C15" i="13"/>
  <c r="C14" i="13"/>
  <c r="C13" i="13"/>
  <c r="C9" i="15"/>
  <c r="F8" i="13" s="1"/>
  <c r="D8" i="13"/>
  <c r="C7" i="8"/>
  <c r="C8" i="13" s="1"/>
</calcChain>
</file>

<file path=xl/sharedStrings.xml><?xml version="1.0" encoding="utf-8"?>
<sst xmlns="http://schemas.openxmlformats.org/spreadsheetml/2006/main" count="148" uniqueCount="133">
  <si>
    <t>1. DADOS DO TITULAR</t>
  </si>
  <si>
    <t>NOME</t>
  </si>
  <si>
    <t>MARIA LUIZA SILVA</t>
  </si>
  <si>
    <t>CPF</t>
  </si>
  <si>
    <t>NASCIMENTO</t>
  </si>
  <si>
    <t>TÍTULO DE ELEITOR</t>
  </si>
  <si>
    <t>CÔNJUGE</t>
  </si>
  <si>
    <t>JOÃO DOS SANTOS</t>
  </si>
  <si>
    <t>RUA</t>
  </si>
  <si>
    <t>RUA ABREVIADA</t>
  </si>
  <si>
    <t>RUA DOS LIMOEIROS, Nº180</t>
  </si>
  <si>
    <t>CEP</t>
  </si>
  <si>
    <t>TELEFONE</t>
  </si>
  <si>
    <t>CELULAR</t>
  </si>
  <si>
    <t>E-MAIL</t>
  </si>
  <si>
    <t>HOUVE ALTERAÇÕES DA ENTREGA ANTERIOR</t>
  </si>
  <si>
    <t>NÃO</t>
  </si>
  <si>
    <t>DEPENDENTE CÔNJUGE</t>
  </si>
  <si>
    <t>RESIDENTE DO EXTERIOR</t>
  </si>
  <si>
    <t xml:space="preserve">usamos 9 links para navegação entre paginas clicando nos botões do menu paginas </t>
  </si>
  <si>
    <t>usamos link para colocar ele no icone do linkedin</t>
  </si>
  <si>
    <t>codigo vba para acertar posição x e y do icone do linkedin e do "system by maria"</t>
  </si>
  <si>
    <t>LUIZA.MARIA@GMAIL.COM</t>
  </si>
  <si>
    <t xml:space="preserve">botoes de navegação </t>
  </si>
  <si>
    <t>formatar celular personalizado para cpf, telefone...</t>
  </si>
  <si>
    <t>2. INFORMES DE RENDIMENTOS BANCÁRIOS</t>
  </si>
  <si>
    <t>Preencha com seus dados atuais de cada banco</t>
  </si>
  <si>
    <t>Preencha os dados da sua pessoa física abaixo</t>
  </si>
  <si>
    <t>BANCO</t>
  </si>
  <si>
    <t>VALOR ATUAL</t>
  </si>
  <si>
    <t>ANEXO 🖇️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</si>
  <si>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</si>
  <si>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</si>
  <si>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</si>
  <si>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</si>
  <si>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</si>
  <si>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</si>
  <si>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</si>
  <si>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</si>
  <si>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</si>
  <si>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</si>
  <si>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</si>
  <si>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</si>
  <si>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</si>
  <si>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</si>
  <si>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</si>
  <si>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</si>
  <si>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</si>
  <si>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</si>
  <si>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</si>
  <si>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</si>
  <si>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</si>
  <si>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</si>
  <si>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</si>
  <si>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</si>
  <si>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</si>
  <si>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</si>
  <si>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</si>
  <si>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</si>
  <si>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</si>
  <si>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</si>
  <si>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</si>
  <si>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</si>
  <si>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</si>
  <si>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</si>
  <si>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</si>
  <si>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</si>
  <si>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</si>
  <si>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</si>
  <si>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</si>
  <si>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</si>
  <si>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</si>
  <si>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</si>
  <si>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</si>
  <si>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</si>
  <si>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</si>
  <si>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</si>
  <si>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</si>
  <si>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</si>
  <si>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</si>
  <si>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</si>
  <si>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</si>
  <si>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mensagens de entrada e mensagem de erro para a lista de bancos na aba informes</t>
  </si>
  <si>
    <t>1º Banco</t>
  </si>
  <si>
    <t>2º Banco</t>
  </si>
  <si>
    <t>3º Banco</t>
  </si>
  <si>
    <t>TOTAL</t>
  </si>
  <si>
    <t>extrato1_pdf</t>
  </si>
  <si>
    <t>extrato2_pdf</t>
  </si>
  <si>
    <t>extrato3_pdf</t>
  </si>
  <si>
    <t>3. NOTAS BANCÁRIAS OU EXTRATOS DE HOLERITES</t>
  </si>
  <si>
    <t>DATA</t>
  </si>
  <si>
    <t>CATEGORIA</t>
  </si>
  <si>
    <t>VALOR</t>
  </si>
  <si>
    <t>ENTRADAS</t>
  </si>
  <si>
    <t>FREELANCER</t>
  </si>
  <si>
    <t xml:space="preserve">PLANILHA PROTEGIDA </t>
  </si>
  <si>
    <t>CELULAS QUE O USUARIA PRECISA MEXER FICAM DESBLOQUEADAS PELO FORMATAR CELULAS - PROTEÇÃO</t>
  </si>
  <si>
    <t>São todos os valores de entrada mês a mês de receita</t>
  </si>
  <si>
    <t>4. DESPESAS DEDUTÍVEIS</t>
  </si>
  <si>
    <t>SALÁRIO</t>
  </si>
  <si>
    <t>PRÓ-LABORE</t>
  </si>
  <si>
    <t>APOSENTADORIA</t>
  </si>
  <si>
    <t>ALUGUEL</t>
  </si>
  <si>
    <t>DIVIDENDOS</t>
  </si>
  <si>
    <t>Resumo das despesas passíveis de dedução legal</t>
  </si>
  <si>
    <t>BENEFICIÁRIO</t>
  </si>
  <si>
    <t>PREVIDÊNCIA PRIVADA</t>
  </si>
  <si>
    <t>SAÚDE - EXAME</t>
  </si>
  <si>
    <t>EDUCAÇÃO - FACULDADE</t>
  </si>
  <si>
    <t>SAÚDE - MÉDICO</t>
  </si>
  <si>
    <t>EDUCAÇÃO - ESCOLA</t>
  </si>
  <si>
    <t>BRADESCO SEGUROS</t>
  </si>
  <si>
    <t>DR. CARLOS SOUZA</t>
  </si>
  <si>
    <t>UNIP</t>
  </si>
  <si>
    <t xml:space="preserve">LAB. LAVOSIER </t>
  </si>
  <si>
    <t>COLÉGIO OBJETIVO</t>
  </si>
  <si>
    <t>TOTAL DEDUTÍVEIS</t>
  </si>
  <si>
    <t>RESUMO FINAL</t>
  </si>
  <si>
    <t>Resumo consolidado e verificação final antes do envio</t>
  </si>
  <si>
    <t>TOTAL PATRIMÔNIO 
(INFORMES)</t>
  </si>
  <si>
    <t>Adicionei pagina inicial e resumo final</t>
  </si>
  <si>
    <t>utilizei macro pra salvar tudo em pdf na horizontal</t>
  </si>
  <si>
    <t>puxei todas as infos de outras sheets...</t>
  </si>
  <si>
    <t>usei checkbox interativa</t>
  </si>
  <si>
    <t>Bem-vindo(a) ao Lion Tax!</t>
  </si>
  <si>
    <t>Esta ferramenta te ajuda a organizar e reunir seus dados antes de preencher o programa oficial da Receita Federal</t>
  </si>
  <si>
    <r>
      <rPr>
        <sz val="11"/>
        <color theme="1"/>
        <rFont val="Segoe UI Semibold"/>
        <family val="2"/>
      </rPr>
      <t>1. TITULAR:</t>
    </r>
    <r>
      <rPr>
        <sz val="11"/>
        <color theme="1"/>
        <rFont val="Segoe UI"/>
        <family val="2"/>
      </rPr>
      <t xml:space="preserve"> Preencha os seus dados pessoais </t>
    </r>
  </si>
  <si>
    <r>
      <rPr>
        <sz val="11"/>
        <color theme="1"/>
        <rFont val="Segoe UI Semibold"/>
        <family val="2"/>
      </rPr>
      <t>2. INFORMES:</t>
    </r>
    <r>
      <rPr>
        <sz val="11"/>
        <color theme="1"/>
        <rFont val="Segoe UI"/>
        <family val="2"/>
      </rPr>
      <t xml:space="preserve"> Cadastre os saldos e anexos dos seus bancos</t>
    </r>
  </si>
  <si>
    <r>
      <rPr>
        <sz val="11"/>
        <color theme="1"/>
        <rFont val="Segoe UI Semibold"/>
        <family val="2"/>
      </rPr>
      <t>3. ENTRADAS:</t>
    </r>
    <r>
      <rPr>
        <sz val="11"/>
        <color theme="1"/>
        <rFont val="Segoe UI"/>
        <family val="2"/>
      </rPr>
      <t xml:space="preserve"> Registe todas as suas receitas e notas do ano</t>
    </r>
  </si>
  <si>
    <r>
      <rPr>
        <sz val="11"/>
        <color theme="1"/>
        <rFont val="Segoe UI Semibold"/>
        <family val="2"/>
      </rPr>
      <t>4. DEDUTÍVEIS:</t>
    </r>
    <r>
      <rPr>
        <sz val="11"/>
        <color theme="1"/>
        <rFont val="Segoe UI"/>
        <family val="2"/>
      </rPr>
      <t xml:space="preserve"> Registe despesas com saúde, educação e outros</t>
    </r>
  </si>
  <si>
    <r>
      <rPr>
        <sz val="11"/>
        <color theme="1"/>
        <rFont val="Segoe UI Semibold"/>
        <family val="2"/>
      </rPr>
      <t>5. RESUMO FINAL:</t>
    </r>
    <r>
      <rPr>
        <sz val="11"/>
        <color theme="1"/>
        <rFont val="Segoe UI"/>
        <family val="2"/>
      </rPr>
      <t xml:space="preserve"> Confira os totais consolidados e gere o seu PDF</t>
    </r>
  </si>
  <si>
    <t>📌 Guia rápido: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</si>
</sst>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00000&quot;-&quot;0000"/>
    <numFmt numFmtId="168" formatCode="&quot;R$&quot;\ #,##0.00"/>
    <numFmt numFmtId="169" formatCode="mmm\-yyyy"/>
  </numFmts>
  <fonts count="27">
    <font>
      <sz val="11"/>
      <color theme="1"/>
      <name val="Aptos Narrow"/>
      <family val="2"/>
      <scheme val="minor"/>
    </font>
    <font>
      <b/>
      <sz val="15"/>
      <color theme="3"/>
      <name val="Aptos Narrow"/>
      <scheme val="minor"/>
    </font>
    <font>
      <sz val="11"/>
      <color rgb="FF9C5700"/>
      <name val="Aptos Narrow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Segoe UI Light"/>
    </font>
    <font>
      <b/>
      <sz val="15"/>
      <color rgb="FF7030A0"/>
      <name val="Aptos Narrow"/>
      <scheme val="minor"/>
    </font>
    <font>
      <sz val="11"/>
      <color rgb="FF9C5700"/>
      <name val="Aptos Narrow"/>
      <family val="2"/>
      <scheme val="minor"/>
    </font>
    <font>
      <i/>
      <sz val="11"/>
      <color theme="1" tint="0.34998626667073579"/>
      <name val="Aptos Narrow"/>
      <family val="2"/>
      <scheme val="minor"/>
    </font>
    <font>
      <b/>
      <sz val="15"/>
      <color rgb="FF7030A0"/>
      <name val="Aptos Narrow"/>
      <family val="2"/>
      <scheme val="minor"/>
    </font>
    <font>
      <sz val="11"/>
      <color theme="1"/>
      <name val="Segoe UI Light"/>
      <family val="2"/>
    </font>
    <font>
      <b/>
      <sz val="14"/>
      <color theme="0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b/>
      <sz val="11"/>
      <color rgb="FF9C5700"/>
      <name val="Segoe UI Light"/>
      <family val="2"/>
    </font>
    <font>
      <sz val="11"/>
      <color theme="1"/>
      <name val="Segoe UI"/>
      <family val="2"/>
    </font>
    <font>
      <sz val="11"/>
      <color rgb="FFEE37BF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 "/>
    </font>
    <font>
      <sz val="11"/>
      <color rgb="FF000000"/>
      <name val="Segoe UI"/>
      <family val="2"/>
    </font>
    <font>
      <sz val="12"/>
      <color theme="1"/>
      <name val="Aptos Narrow"/>
      <family val="2"/>
      <scheme val="minor"/>
    </font>
    <font>
      <sz val="12"/>
      <color theme="1"/>
      <name val="Segoe UI"/>
      <family val="2"/>
    </font>
    <font>
      <sz val="12"/>
      <color theme="8" tint="-0.499984740745262"/>
      <name val="Segoe UI Semibold"/>
      <family val="2"/>
    </font>
    <font>
      <b/>
      <sz val="12"/>
      <color theme="8" tint="-0.499984740745262"/>
      <name val="Segoe UI Semibold"/>
      <family val="2"/>
    </font>
    <font>
      <b/>
      <sz val="16"/>
      <color theme="1"/>
      <name val="Segoe UI"/>
      <family val="2"/>
    </font>
    <font>
      <b/>
      <sz val="22"/>
      <color theme="3"/>
      <name val="Aptos Narrow"/>
      <family val="2"/>
      <scheme val="minor"/>
    </font>
    <font>
      <b/>
      <sz val="24"/>
      <color rgb="FF7030A0"/>
      <name val="Aptos Narrow"/>
      <family val="2"/>
      <scheme val="minor"/>
    </font>
    <font>
      <sz val="11"/>
      <color theme="1"/>
      <name val="Segoe UI Semibold"/>
      <family val="2"/>
    </font>
    <font>
      <b/>
      <sz val="12"/>
      <color theme="8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/>
      <bottom style="thick">
        <color rgb="FFEE37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EE37BF"/>
      </top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4" fillId="0" borderId="2" xfId="0" applyFont="1" applyBorder="1" applyAlignment="1">
      <alignment horizontal="left" indent="1"/>
    </xf>
    <xf numFmtId="0" fontId="4" fillId="0" borderId="4" xfId="0" applyFont="1" applyBorder="1" applyAlignment="1">
      <alignment horizontal="left" indent="1"/>
    </xf>
    <xf numFmtId="0" fontId="4" fillId="0" borderId="6" xfId="0" applyFont="1" applyBorder="1" applyAlignment="1">
      <alignment horizontal="left" indent="1"/>
    </xf>
    <xf numFmtId="0" fontId="5" fillId="0" borderId="8" xfId="1" applyFont="1" applyFill="1" applyBorder="1"/>
    <xf numFmtId="0" fontId="1" fillId="0" borderId="8" xfId="1" applyFill="1" applyBorder="1"/>
    <xf numFmtId="0" fontId="7" fillId="4" borderId="0" xfId="0" applyFont="1" applyFill="1" applyAlignment="1">
      <alignment horizontal="left" vertical="center" indent="2"/>
    </xf>
    <xf numFmtId="0" fontId="8" fillId="0" borderId="8" xfId="1" applyFont="1" applyFill="1" applyBorder="1"/>
    <xf numFmtId="0" fontId="9" fillId="0" borderId="2" xfId="0" applyFont="1" applyBorder="1" applyAlignment="1">
      <alignment horizontal="left" indent="1"/>
    </xf>
    <xf numFmtId="0" fontId="10" fillId="5" borderId="9" xfId="0" applyFont="1" applyFill="1" applyBorder="1" applyAlignment="1">
      <alignment horizontal="center" vertical="center"/>
    </xf>
    <xf numFmtId="0" fontId="0" fillId="0" borderId="9" xfId="0" applyBorder="1"/>
    <xf numFmtId="0" fontId="11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6" fillId="3" borderId="3" xfId="2" applyFont="1" applyBorder="1" applyAlignment="1" applyProtection="1">
      <alignment horizontal="left" indent="1"/>
      <protection locked="0"/>
    </xf>
    <xf numFmtId="164" fontId="2" fillId="3" borderId="5" xfId="2" applyNumberFormat="1" applyBorder="1" applyAlignment="1" applyProtection="1">
      <alignment horizontal="left" indent="1"/>
      <protection locked="0"/>
    </xf>
    <xf numFmtId="14" fontId="2" fillId="3" borderId="5" xfId="2" applyNumberFormat="1" applyBorder="1" applyAlignment="1" applyProtection="1">
      <alignment horizontal="left" indent="1"/>
      <protection locked="0"/>
    </xf>
    <xf numFmtId="0" fontId="2" fillId="3" borderId="5" xfId="2" applyBorder="1" applyAlignment="1" applyProtection="1">
      <alignment horizontal="left" indent="1"/>
      <protection locked="0"/>
    </xf>
    <xf numFmtId="165" fontId="2" fillId="3" borderId="5" xfId="2" applyNumberFormat="1" applyBorder="1" applyAlignment="1" applyProtection="1">
      <alignment horizontal="left" indent="1"/>
      <protection locked="0"/>
    </xf>
    <xf numFmtId="166" fontId="2" fillId="3" borderId="5" xfId="2" applyNumberFormat="1" applyBorder="1" applyAlignment="1" applyProtection="1">
      <alignment horizontal="left" indent="1"/>
      <protection locked="0"/>
    </xf>
    <xf numFmtId="167" fontId="2" fillId="3" borderId="5" xfId="2" applyNumberFormat="1" applyBorder="1" applyAlignment="1" applyProtection="1">
      <alignment horizontal="left" indent="1"/>
      <protection locked="0"/>
    </xf>
    <xf numFmtId="0" fontId="6" fillId="3" borderId="5" xfId="4" applyFont="1" applyFill="1" applyBorder="1" applyAlignment="1" applyProtection="1">
      <alignment horizontal="left" indent="1"/>
      <protection locked="0"/>
    </xf>
    <xf numFmtId="0" fontId="2" fillId="3" borderId="7" xfId="2" applyBorder="1" applyAlignment="1" applyProtection="1">
      <alignment horizontal="left" indent="1"/>
      <protection locked="0"/>
    </xf>
    <xf numFmtId="168" fontId="6" fillId="3" borderId="3" xfId="2" applyNumberFormat="1" applyFont="1" applyBorder="1" applyAlignment="1" applyProtection="1">
      <alignment horizontal="left" indent="1"/>
      <protection locked="0"/>
    </xf>
    <xf numFmtId="169" fontId="13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168" fontId="13" fillId="0" borderId="0" xfId="0" applyNumberFormat="1" applyFont="1" applyAlignment="1" applyProtection="1">
      <alignment horizontal="center"/>
      <protection locked="0"/>
    </xf>
    <xf numFmtId="168" fontId="17" fillId="0" borderId="0" xfId="0" applyNumberFormat="1" applyFont="1" applyAlignment="1" applyProtection="1">
      <alignment horizontal="center"/>
      <protection locked="0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 wrapText="1" indent="7"/>
    </xf>
    <xf numFmtId="0" fontId="18" fillId="0" borderId="0" xfId="0" applyFont="1" applyAlignment="1">
      <alignment horizontal="left" indent="18"/>
    </xf>
    <xf numFmtId="168" fontId="19" fillId="0" borderId="0" xfId="0" applyNumberFormat="1" applyFont="1" applyAlignment="1">
      <alignment horizontal="left" vertical="center" indent="19"/>
    </xf>
    <xf numFmtId="0" fontId="18" fillId="0" borderId="0" xfId="0" applyFont="1" applyAlignment="1">
      <alignment horizontal="left" indent="19"/>
    </xf>
    <xf numFmtId="0" fontId="18" fillId="0" borderId="0" xfId="0" applyFont="1" applyAlignment="1">
      <alignment horizontal="left" indent="21"/>
    </xf>
    <xf numFmtId="0" fontId="18" fillId="0" borderId="0" xfId="0" applyFont="1" applyAlignment="1">
      <alignment horizontal="left" indent="29"/>
    </xf>
    <xf numFmtId="168" fontId="12" fillId="3" borderId="0" xfId="2" applyNumberFormat="1" applyFont="1" applyAlignment="1">
      <alignment horizontal="center" vertical="center"/>
    </xf>
    <xf numFmtId="0" fontId="12" fillId="3" borderId="0" xfId="2" applyFont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8" fillId="0" borderId="0" xfId="0" applyFont="1" applyAlignment="1">
      <alignment horizontal="left" indent="29"/>
    </xf>
    <xf numFmtId="168" fontId="19" fillId="0" borderId="0" xfId="0" applyNumberFormat="1" applyFont="1" applyAlignment="1">
      <alignment horizontal="left" vertical="center" indent="19"/>
    </xf>
    <xf numFmtId="0" fontId="18" fillId="0" borderId="0" xfId="0" applyFont="1" applyAlignment="1">
      <alignment horizontal="left" indent="18"/>
    </xf>
    <xf numFmtId="0" fontId="18" fillId="0" borderId="0" xfId="0" applyFont="1" applyAlignment="1">
      <alignment horizontal="left" indent="21"/>
    </xf>
    <xf numFmtId="0" fontId="18" fillId="0" borderId="0" xfId="0" applyFont="1" applyAlignment="1">
      <alignment horizontal="left" indent="19"/>
    </xf>
    <xf numFmtId="165" fontId="18" fillId="0" borderId="0" xfId="0" applyNumberFormat="1" applyFont="1" applyAlignment="1">
      <alignment horizontal="left" indent="18"/>
    </xf>
    <xf numFmtId="164" fontId="18" fillId="0" borderId="0" xfId="0" applyNumberFormat="1" applyFont="1" applyAlignment="1">
      <alignment horizontal="left" indent="18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164" fontId="18" fillId="0" borderId="0" xfId="0" applyNumberFormat="1" applyFont="1" applyAlignment="1">
      <alignment horizontal="left" indent="18"/>
    </xf>
    <xf numFmtId="165" fontId="18" fillId="0" borderId="0" xfId="0" applyNumberFormat="1" applyFont="1" applyAlignment="1">
      <alignment horizontal="left" indent="18"/>
    </xf>
    <xf numFmtId="0" fontId="23" fillId="0" borderId="8" xfId="1" applyFont="1" applyFill="1" applyBorder="1"/>
    <xf numFmtId="0" fontId="24" fillId="0" borderId="8" xfId="1" applyFont="1" applyFill="1" applyBorder="1"/>
    <xf numFmtId="0" fontId="13" fillId="0" borderId="10" xfId="0" applyFont="1" applyBorder="1" applyAlignment="1">
      <alignment horizontal="left" vertical="center" wrapText="1"/>
    </xf>
    <xf numFmtId="0" fontId="26" fillId="0" borderId="0" xfId="0" applyFont="1"/>
  </cellXfs>
  <cellStyles count="5">
    <cellStyle name="Hiperlink" xfId="4" builtinId="8"/>
    <cellStyle name="Hyperlink" xfId="3" xr:uid="{00000000-000B-0000-0000-000008000000}"/>
    <cellStyle name="Neutro" xfId="2" builtinId="28"/>
    <cellStyle name="Normal" xfId="0" builtinId="0"/>
    <cellStyle name="Título 1" xfId="1" builtinId="16"/>
  </cellStyles>
  <dxfs count="11">
    <dxf>
      <font>
        <strike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Segoe UI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124E8"/>
      <color rgb="FF8150ED"/>
      <color rgb="FFEE37BF"/>
      <color rgb="FF9C5700"/>
      <color rgb="FF1B252D"/>
      <color rgb="FFFFFFFF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2.png"/><Relationship Id="rId7" Type="http://schemas.openxmlformats.org/officeDocument/2006/relationships/hyperlink" Target="#ENTRADAS!C1"/><Relationship Id="rId2" Type="http://schemas.openxmlformats.org/officeDocument/2006/relationships/hyperlink" Target="https://www.linkedin.com/in/maria-luiza-leite-silva-/" TargetMode="External"/><Relationship Id="rId1" Type="http://schemas.openxmlformats.org/officeDocument/2006/relationships/image" Target="../media/image1.png"/><Relationship Id="rId6" Type="http://schemas.openxmlformats.org/officeDocument/2006/relationships/hyperlink" Target="#INFORMES!C1"/><Relationship Id="rId5" Type="http://schemas.openxmlformats.org/officeDocument/2006/relationships/hyperlink" Target="#'DESPESAS DEDUTIVEIS'!C1"/><Relationship Id="rId4" Type="http://schemas.openxmlformats.org/officeDocument/2006/relationships/hyperlink" Target="#TITULAR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hyperlink" Target="https://www.linkedin.com/in/maria-luiza-leite-silva-/" TargetMode="External"/><Relationship Id="rId7" Type="http://schemas.openxmlformats.org/officeDocument/2006/relationships/hyperlink" Target="#ENTRADAS!C1"/><Relationship Id="rId2" Type="http://schemas.openxmlformats.org/officeDocument/2006/relationships/image" Target="../media/image1.png"/><Relationship Id="rId1" Type="http://schemas.openxmlformats.org/officeDocument/2006/relationships/hyperlink" Target="#INFORMES!C1"/><Relationship Id="rId6" Type="http://schemas.openxmlformats.org/officeDocument/2006/relationships/hyperlink" Target="#'DESPESAS DEDUTIVEIS'!C1"/><Relationship Id="rId5" Type="http://schemas.openxmlformats.org/officeDocument/2006/relationships/hyperlink" Target="#TITULAR!C1"/><Relationship Id="rId4" Type="http://schemas.openxmlformats.org/officeDocument/2006/relationships/image" Target="../media/image2.png"/><Relationship Id="rId9" Type="http://schemas.openxmlformats.org/officeDocument/2006/relationships/hyperlink" Target="#'P&#193;GINA INICIAL'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1.png"/><Relationship Id="rId7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hyperlink" Target="#ENTRADAS!C1"/><Relationship Id="rId6" Type="http://schemas.openxmlformats.org/officeDocument/2006/relationships/hyperlink" Target="#'DESPESAS DEDUTIVEIS'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maria-luiza-leite-silva-/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RESUMO FINAL'!C1"/><Relationship Id="rId3" Type="http://schemas.openxmlformats.org/officeDocument/2006/relationships/image" Target="../media/image1.png"/><Relationship Id="rId7" Type="http://schemas.openxmlformats.org/officeDocument/2006/relationships/hyperlink" Target="#ENTRADAS!C1"/><Relationship Id="rId2" Type="http://schemas.openxmlformats.org/officeDocument/2006/relationships/hyperlink" Target="#'DESPESAS DEDUTIVEIS'!C1"/><Relationship Id="rId1" Type="http://schemas.openxmlformats.org/officeDocument/2006/relationships/hyperlink" Target="#INFORMES!C1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maria-luiza-leite-silva-/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TITULAR!C1"/><Relationship Id="rId7" Type="http://schemas.openxmlformats.org/officeDocument/2006/relationships/hyperlink" Target="#'RESUMO FINAL'!C1"/><Relationship Id="rId2" Type="http://schemas.openxmlformats.org/officeDocument/2006/relationships/image" Target="../media/image2.png"/><Relationship Id="rId1" Type="http://schemas.openxmlformats.org/officeDocument/2006/relationships/hyperlink" Target="https://www.linkedin.com/in/maria-luiza-leite-silva-/" TargetMode="External"/><Relationship Id="rId6" Type="http://schemas.openxmlformats.org/officeDocument/2006/relationships/hyperlink" Target="#ENTRADAS!C1"/><Relationship Id="rId5" Type="http://schemas.openxmlformats.org/officeDocument/2006/relationships/hyperlink" Target="#INFORMES!C1"/><Relationship Id="rId4" Type="http://schemas.openxmlformats.org/officeDocument/2006/relationships/hyperlink" Target="#'DESPESAS DEDUTIVEIS'!C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ENTRADAS!C1"/><Relationship Id="rId3" Type="http://schemas.openxmlformats.org/officeDocument/2006/relationships/hyperlink" Target="https://www.linkedin.com/in/maria-luiza-leite-silva-/" TargetMode="External"/><Relationship Id="rId7" Type="http://schemas.openxmlformats.org/officeDocument/2006/relationships/hyperlink" Target="#INFORMES!C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'DESPESAS DEDUTIVEIS'!C1"/><Relationship Id="rId11" Type="http://schemas.openxmlformats.org/officeDocument/2006/relationships/hyperlink" Target="#'P&#193;GINA INICIAL'!C1"/><Relationship Id="rId5" Type="http://schemas.openxmlformats.org/officeDocument/2006/relationships/hyperlink" Target="#TITULAR!C1"/><Relationship Id="rId10" Type="http://schemas.openxmlformats.org/officeDocument/2006/relationships/image" Target="../media/image1.png"/><Relationship Id="rId4" Type="http://schemas.openxmlformats.org/officeDocument/2006/relationships/image" Target="../media/image2.png"/><Relationship Id="rId9" Type="http://schemas.openxmlformats.org/officeDocument/2006/relationships/hyperlink" Target="#'RESUMO FINAL'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BB187A0-8644-42AE-8915-74AAA9F967FE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2</xdr:row>
      <xdr:rowOff>254000</xdr:rowOff>
    </xdr:from>
    <xdr:to>
      <xdr:col>0</xdr:col>
      <xdr:colOff>1968500</xdr:colOff>
      <xdr:row>25</xdr:row>
      <xdr:rowOff>53975</xdr:rowOff>
    </xdr:to>
    <xdr:grpSp>
      <xdr:nvGrpSpPr>
        <xdr:cNvPr id="28" name="painel">
          <a:extLst>
            <a:ext uri="{FF2B5EF4-FFF2-40B4-BE49-F238E27FC236}">
              <a16:creationId xmlns:a16="http://schemas.microsoft.com/office/drawing/2014/main" id="{29C611D8-E988-4645-B6BF-62320A936DFD}"/>
            </a:ext>
          </a:extLst>
        </xdr:cNvPr>
        <xdr:cNvGrpSpPr/>
      </xdr:nvGrpSpPr>
      <xdr:grpSpPr>
        <a:xfrm>
          <a:off x="101600" y="568325"/>
          <a:ext cx="1866900" cy="4638675"/>
          <a:chOff x="104775" y="809625"/>
          <a:chExt cx="1866900" cy="4676775"/>
        </a:xfrm>
      </xdr:grpSpPr>
      <xdr:pic>
        <xdr:nvPicPr>
          <xdr:cNvPr id="29" name="leao" descr="Lion - Free animals icons">
            <a:extLst>
              <a:ext uri="{FF2B5EF4-FFF2-40B4-BE49-F238E27FC236}">
                <a16:creationId xmlns:a16="http://schemas.microsoft.com/office/drawing/2014/main" id="{36CA2E74-1EDD-B613-D2EA-9C155B56B6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38151" y="809625"/>
            <a:ext cx="1119187" cy="111918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0" name="autora">
            <a:extLst>
              <a:ext uri="{FF2B5EF4-FFF2-40B4-BE49-F238E27FC236}">
                <a16:creationId xmlns:a16="http://schemas.microsoft.com/office/drawing/2014/main" id="{D8E1E082-4534-B1BC-C33C-8A9962626E5E}"/>
              </a:ext>
            </a:extLst>
          </xdr:cNvPr>
          <xdr:cNvGrpSpPr/>
        </xdr:nvGrpSpPr>
        <xdr:grpSpPr>
          <a:xfrm>
            <a:off x="115888" y="4914900"/>
            <a:ext cx="1812925" cy="571500"/>
            <a:chOff x="101600" y="3848100"/>
            <a:chExt cx="1812925" cy="571500"/>
          </a:xfrm>
        </xdr:grpSpPr>
        <xdr:pic>
          <xdr:nvPicPr>
            <xdr:cNvPr id="36" name="icon_linkedin" descr="Linkedin Logo White PNGs for Free Download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15D2464-5E4C-DFD8-9C18-BDD3524AFB2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33500" y="3898900"/>
              <a:ext cx="457200" cy="457200"/>
            </a:xfrm>
            <a:prstGeom prst="rect">
              <a:avLst/>
            </a:prstGeom>
            <a:noFill/>
            <a:ln>
              <a:noFill/>
            </a:ln>
            <a:effectLst>
              <a:outerShdw blurRad="12700" dist="50800" dir="5400000" algn="ctr" rotWithShape="0">
                <a:srgbClr val="000000">
                  <a:alpha val="43137"/>
                </a:srgbClr>
              </a:outerShdw>
            </a:effectLst>
          </xdr:spPr>
        </xdr:pic>
        <xdr:sp macro="" textlink="">
          <xdr:nvSpPr>
            <xdr:cNvPr id="37" name="autoria">
              <a:extLst>
                <a:ext uri="{FF2B5EF4-FFF2-40B4-BE49-F238E27FC236}">
                  <a16:creationId xmlns:a16="http://schemas.microsoft.com/office/drawing/2014/main" id="{FD81DE5A-5D1B-E48B-A965-102FD11A1737}"/>
                </a:ext>
                <a:ext uri="{147F2762-F138-4A5C-976F-8EAC2B608ADB}">
                  <a16:predDERef xmlns:a16="http://schemas.microsoft.com/office/drawing/2014/main" pred="{3619124D-96A2-446C-B15F-09D56A80E3DE}"/>
                </a:ext>
              </a:extLst>
            </xdr:cNvPr>
            <xdr:cNvSpPr/>
          </xdr:nvSpPr>
          <xdr:spPr>
            <a:xfrm>
              <a:off x="101600" y="3848100"/>
              <a:ext cx="1419225" cy="571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SYSTEM</a:t>
              </a:r>
              <a:r>
                <a:rPr lang="pt-BR" sz="1100" baseline="0"/>
                <a:t> BY MARIA</a:t>
              </a:r>
              <a:endParaRPr lang="pt-BR" sz="1100"/>
            </a:p>
          </xdr:txBody>
        </xdr:sp>
        <xdr:cxnSp macro="">
          <xdr:nvCxnSpPr>
            <xdr:cNvPr id="38" name="Conector reto 37">
              <a:extLst>
                <a:ext uri="{FF2B5EF4-FFF2-40B4-BE49-F238E27FC236}">
                  <a16:creationId xmlns:a16="http://schemas.microsoft.com/office/drawing/2014/main" id="{7314ADDE-072E-CF83-932C-D1150AAA45EA}"/>
                </a:ext>
              </a:extLst>
            </xdr:cNvPr>
            <xdr:cNvCxnSpPr/>
          </xdr:nvCxnSpPr>
          <xdr:spPr>
            <a:xfrm>
              <a:off x="104775" y="3895725"/>
              <a:ext cx="1809750" cy="0"/>
            </a:xfrm>
            <a:prstGeom prst="line">
              <a:avLst/>
            </a:prstGeom>
            <a:ln w="9525">
              <a:solidFill>
                <a:srgbClr val="EE37BF"/>
              </a:solidFill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" name="Retângulo: Cantos Arredondados 3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4C3AA98-9968-6FA6-29F5-39BF1F73CB04}"/>
              </a:ext>
            </a:extLst>
          </xdr:cNvPr>
          <xdr:cNvSpPr/>
        </xdr:nvSpPr>
        <xdr:spPr>
          <a:xfrm>
            <a:off x="104775" y="2190750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TITULAR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673AC3-59D1-8FDA-C0CA-FB8AD58D9488}"/>
              </a:ext>
            </a:extLst>
          </xdr:cNvPr>
          <xdr:cNvSpPr/>
        </xdr:nvSpPr>
        <xdr:spPr>
          <a:xfrm>
            <a:off x="104775" y="3726657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/>
              </a:gs>
              <a:gs pos="95000">
                <a:srgbClr val="8150ED">
                  <a:alpha val="62745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 baseline="0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DEDUTÍVEIS</a:t>
            </a:r>
            <a:endPara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A732574-DB4B-25CF-AF93-957441B39CF7}"/>
              </a:ext>
            </a:extLst>
          </xdr:cNvPr>
          <xdr:cNvSpPr/>
        </xdr:nvSpPr>
        <xdr:spPr>
          <a:xfrm>
            <a:off x="104775" y="2702719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INFORMES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61D79B-F5DE-4209-9DCC-4FD79456129E}"/>
              </a:ext>
            </a:extLst>
          </xdr:cNvPr>
          <xdr:cNvSpPr/>
        </xdr:nvSpPr>
        <xdr:spPr>
          <a:xfrm>
            <a:off x="104775" y="3214688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ENTRADAS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E44CCC7-D8C3-CF9A-3F8C-8D3D0FE3891F}"/>
              </a:ext>
            </a:extLst>
          </xdr:cNvPr>
          <xdr:cNvSpPr/>
        </xdr:nvSpPr>
        <xdr:spPr>
          <a:xfrm>
            <a:off x="104775" y="4238625"/>
            <a:ext cx="1866900" cy="4000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15000">
                <a:srgbClr val="EE37BF">
                  <a:lumMod val="100000"/>
                </a:srgbClr>
              </a:gs>
              <a:gs pos="95000">
                <a:srgbClr val="6124E8">
                  <a:alpha val="63000"/>
                  <a:lumMod val="80000"/>
                  <a:lumOff val="20000"/>
                </a:srgb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t>RESUMO FINAL</a:t>
            </a:r>
          </a:p>
        </xdr:txBody>
      </xdr:sp>
    </xdr:grpSp>
    <xdr:clientData/>
  </xdr:twoCellAnchor>
  <xdr:twoCellAnchor>
    <xdr:from>
      <xdr:col>2</xdr:col>
      <xdr:colOff>2181225</xdr:colOff>
      <xdr:row>16</xdr:row>
      <xdr:rowOff>123825</xdr:rowOff>
    </xdr:from>
    <xdr:to>
      <xdr:col>3</xdr:col>
      <xdr:colOff>2219325</xdr:colOff>
      <xdr:row>18</xdr:row>
      <xdr:rowOff>133350</xdr:rowOff>
    </xdr:to>
    <xdr:sp macro="" textlink="">
      <xdr:nvSpPr>
        <xdr:cNvPr id="2" name="Retângulo: Cantos Arredondados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B9EE73-1275-4CD0-A752-539C20D9A9DF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876800" y="35623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INICIAR PREENCHIMENTO 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-&gt;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EDE81EC-961A-F41F-CE35-CFADF040C15E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3095624</xdr:colOff>
      <xdr:row>19</xdr:row>
      <xdr:rowOff>95250</xdr:rowOff>
    </xdr:from>
    <xdr:to>
      <xdr:col>4</xdr:col>
      <xdr:colOff>19049</xdr:colOff>
      <xdr:row>21</xdr:row>
      <xdr:rowOff>104775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92A1BA-532D-CF1F-7762-C503C8CC597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5791199" y="42100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 editAs="absolute">
    <xdr:from>
      <xdr:col>0</xdr:col>
      <xdr:colOff>434976</xdr:colOff>
      <xdr:row>2</xdr:row>
      <xdr:rowOff>254000</xdr:rowOff>
    </xdr:from>
    <xdr:to>
      <xdr:col>0</xdr:col>
      <xdr:colOff>1554163</xdr:colOff>
      <xdr:row>7</xdr:row>
      <xdr:rowOff>153987</xdr:rowOff>
    </xdr:to>
    <xdr:pic>
      <xdr:nvPicPr>
        <xdr:cNvPr id="8" name="leao" descr="Lion - Free animals icons">
          <a:extLst>
            <a:ext uri="{FF2B5EF4-FFF2-40B4-BE49-F238E27FC236}">
              <a16:creationId xmlns:a16="http://schemas.microsoft.com/office/drawing/2014/main" id="{B9B335B1-8F63-46BD-9985-7F6D25806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53975</xdr:rowOff>
    </xdr:from>
    <xdr:to>
      <xdr:col>0</xdr:col>
      <xdr:colOff>1925638</xdr:colOff>
      <xdr:row>25</xdr:row>
      <xdr:rowOff>53975</xdr:rowOff>
    </xdr:to>
    <xdr:grpSp>
      <xdr:nvGrpSpPr>
        <xdr:cNvPr id="10" name="autora">
          <a:extLst>
            <a:ext uri="{FF2B5EF4-FFF2-40B4-BE49-F238E27FC236}">
              <a16:creationId xmlns:a16="http://schemas.microsoft.com/office/drawing/2014/main" id="{C6F73084-9D33-42E9-B55E-A53919AFD359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11" name="icon_linkedin" descr="Linkedin Logo White PNGs for Free Download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25E00C8-D5A3-E061-22B3-8370875126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12" name="autoria">
            <a:extLst>
              <a:ext uri="{FF2B5EF4-FFF2-40B4-BE49-F238E27FC236}">
                <a16:creationId xmlns:a16="http://schemas.microsoft.com/office/drawing/2014/main" id="{D98FA0BC-3AE5-68A4-7468-75D1C9E7F1B9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13" name="Conector reto 12">
            <a:extLst>
              <a:ext uri="{FF2B5EF4-FFF2-40B4-BE49-F238E27FC236}">
                <a16:creationId xmlns:a16="http://schemas.microsoft.com/office/drawing/2014/main" id="{630DA256-5700-26EF-E09F-7E6834BC521E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8</xdr:row>
      <xdr:rowOff>206375</xdr:rowOff>
    </xdr:from>
    <xdr:to>
      <xdr:col>0</xdr:col>
      <xdr:colOff>1968500</xdr:colOff>
      <xdr:row>10</xdr:row>
      <xdr:rowOff>187325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0D105B-EAAA-491A-AB97-A572BA946C48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16</xdr:row>
      <xdr:rowOff>65882</xdr:rowOff>
    </xdr:from>
    <xdr:to>
      <xdr:col>0</xdr:col>
      <xdr:colOff>1968500</xdr:colOff>
      <xdr:row>18</xdr:row>
      <xdr:rowOff>46832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8BF0DE5-E913-48E1-8365-442946ACFB61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11</xdr:row>
      <xdr:rowOff>89694</xdr:rowOff>
    </xdr:from>
    <xdr:to>
      <xdr:col>0</xdr:col>
      <xdr:colOff>1968500</xdr:colOff>
      <xdr:row>13</xdr:row>
      <xdr:rowOff>70644</xdr:rowOff>
    </xdr:to>
    <xdr:sp macro="" textlink="">
      <xdr:nvSpPr>
        <xdr:cNvPr id="16" name="Retângulo: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E3E7D4-E7BC-464E-8AD0-A456E0DCD1F8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13</xdr:row>
      <xdr:rowOff>182563</xdr:rowOff>
    </xdr:from>
    <xdr:to>
      <xdr:col>0</xdr:col>
      <xdr:colOff>1968500</xdr:colOff>
      <xdr:row>15</xdr:row>
      <xdr:rowOff>163513</xdr:rowOff>
    </xdr:to>
    <xdr:sp macro="" textlink="">
      <xdr:nvSpPr>
        <xdr:cNvPr id="17" name="Retângulo: Cantos Arredond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D134A3B-798E-4EAF-BB36-DB6E71926CD8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18</xdr:row>
      <xdr:rowOff>158750</xdr:rowOff>
    </xdr:from>
    <xdr:to>
      <xdr:col>0</xdr:col>
      <xdr:colOff>1968500</xdr:colOff>
      <xdr:row>20</xdr:row>
      <xdr:rowOff>158750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947AB2-0030-4403-86B3-0685D8F15278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  <xdr:twoCellAnchor>
    <xdr:from>
      <xdr:col>1</xdr:col>
      <xdr:colOff>581024</xdr:colOff>
      <xdr:row>19</xdr:row>
      <xdr:rowOff>95250</xdr:rowOff>
    </xdr:from>
    <xdr:to>
      <xdr:col>3</xdr:col>
      <xdr:colOff>9524</xdr:colOff>
      <xdr:row>21</xdr:row>
      <xdr:rowOff>104775</xdr:rowOff>
    </xdr:to>
    <xdr:sp macro="" textlink="">
      <xdr:nvSpPr>
        <xdr:cNvPr id="2" name="Retângulo: Cantos Arredondados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BD03032-9BA1-4DF7-B5F8-AF660523F0E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66999" y="421005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VOLTAR A PÁGINA INICIAL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B88186F-82F5-4709-8A31-54851387E7D6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3</xdr:col>
      <xdr:colOff>19050</xdr:colOff>
      <xdr:row>22</xdr:row>
      <xdr:rowOff>123825</xdr:rowOff>
    </xdr:from>
    <xdr:to>
      <xdr:col>4</xdr:col>
      <xdr:colOff>57150</xdr:colOff>
      <xdr:row>24</xdr:row>
      <xdr:rowOff>133350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993430-9B65-46D2-85A6-1073EBA6B838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5829300" y="476250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1</xdr:col>
      <xdr:colOff>552450</xdr:colOff>
      <xdr:row>22</xdr:row>
      <xdr:rowOff>123825</xdr:rowOff>
    </xdr:from>
    <xdr:to>
      <xdr:col>2</xdr:col>
      <xdr:colOff>3095625</xdr:colOff>
      <xdr:row>24</xdr:row>
      <xdr:rowOff>133350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3D7EEA-ABF5-4D2A-A0A2-EC51C60A13BE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38425" y="4762500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434976</xdr:colOff>
      <xdr:row>2</xdr:row>
      <xdr:rowOff>254000</xdr:rowOff>
    </xdr:from>
    <xdr:to>
      <xdr:col>0</xdr:col>
      <xdr:colOff>1554163</xdr:colOff>
      <xdr:row>7</xdr:row>
      <xdr:rowOff>144462</xdr:rowOff>
    </xdr:to>
    <xdr:pic>
      <xdr:nvPicPr>
        <xdr:cNvPr id="23" name="leao" descr="Lion - Free animals icons">
          <a:extLst>
            <a:ext uri="{FF2B5EF4-FFF2-40B4-BE49-F238E27FC236}">
              <a16:creationId xmlns:a16="http://schemas.microsoft.com/office/drawing/2014/main" id="{E45D4757-6E11-1443-BEA9-248D48FED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101600</xdr:rowOff>
    </xdr:from>
    <xdr:to>
      <xdr:col>0</xdr:col>
      <xdr:colOff>1925638</xdr:colOff>
      <xdr:row>25</xdr:row>
      <xdr:rowOff>101600</xdr:rowOff>
    </xdr:to>
    <xdr:grpSp>
      <xdr:nvGrpSpPr>
        <xdr:cNvPr id="24" name="autora">
          <a:extLst>
            <a:ext uri="{FF2B5EF4-FFF2-40B4-BE49-F238E27FC236}">
              <a16:creationId xmlns:a16="http://schemas.microsoft.com/office/drawing/2014/main" id="{EC55BCB0-2544-F16E-AE07-71AF2A502EB0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30" name="icon_linkedin" descr="Linkedin Logo White PNGs for Free Download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EEE8483-E3B0-C28F-4EED-09507698F18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31" name="autoria">
            <a:extLst>
              <a:ext uri="{FF2B5EF4-FFF2-40B4-BE49-F238E27FC236}">
                <a16:creationId xmlns:a16="http://schemas.microsoft.com/office/drawing/2014/main" id="{F942362B-AB4B-C1B3-2FB3-2883DCBF8A85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32" name="Conector reto 31">
            <a:extLst>
              <a:ext uri="{FF2B5EF4-FFF2-40B4-BE49-F238E27FC236}">
                <a16:creationId xmlns:a16="http://schemas.microsoft.com/office/drawing/2014/main" id="{9B968DB8-2088-3CD0-D839-3678BE3FB656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25400</xdr:rowOff>
    </xdr:from>
    <xdr:to>
      <xdr:col>0</xdr:col>
      <xdr:colOff>1968500</xdr:colOff>
      <xdr:row>11</xdr:row>
      <xdr:rowOff>6350</xdr:rowOff>
    </xdr:to>
    <xdr:sp macro="" textlink="">
      <xdr:nvSpPr>
        <xdr:cNvPr id="25" name="Retângulo: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5A7848-8DCF-5BE5-164D-CF9EC5E5E524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16</xdr:row>
      <xdr:rowOff>132557</xdr:rowOff>
    </xdr:from>
    <xdr:to>
      <xdr:col>0</xdr:col>
      <xdr:colOff>1968500</xdr:colOff>
      <xdr:row>18</xdr:row>
      <xdr:rowOff>132557</xdr:rowOff>
    </xdr:to>
    <xdr:sp macro="" textlink="">
      <xdr:nvSpPr>
        <xdr:cNvPr id="26" name="Retângulo: Cantos Arredondado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895840-27BE-360A-90F8-133105D782D3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11</xdr:row>
      <xdr:rowOff>118269</xdr:rowOff>
    </xdr:from>
    <xdr:to>
      <xdr:col>0</xdr:col>
      <xdr:colOff>1968500</xdr:colOff>
      <xdr:row>13</xdr:row>
      <xdr:rowOff>118269</xdr:rowOff>
    </xdr:to>
    <xdr:sp macro="" textlink="">
      <xdr:nvSpPr>
        <xdr:cNvPr id="27" name="Retângulo: Cantos Arredondado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DAB5927-3E36-D9D6-5846-01543D99E072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39688</xdr:rowOff>
    </xdr:from>
    <xdr:to>
      <xdr:col>0</xdr:col>
      <xdr:colOff>1968500</xdr:colOff>
      <xdr:row>16</xdr:row>
      <xdr:rowOff>20638</xdr:rowOff>
    </xdr:to>
    <xdr:sp macro="" textlink="">
      <xdr:nvSpPr>
        <xdr:cNvPr id="28" name="Retângulo: Canto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B4649A-3929-9C79-67D3-8C9544BA78B0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53975</xdr:rowOff>
    </xdr:from>
    <xdr:to>
      <xdr:col>0</xdr:col>
      <xdr:colOff>1968500</xdr:colOff>
      <xdr:row>21</xdr:row>
      <xdr:rowOff>34925</xdr:rowOff>
    </xdr:to>
    <xdr:sp macro="" textlink="">
      <xdr:nvSpPr>
        <xdr:cNvPr id="29" name="Retângulo: Cantos Arredondado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F228533-0E8D-E913-82B6-5ECBF6DC7921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A34A84E-7D70-4EA6-9AAC-9CD3DF6D30B2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0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590550</xdr:colOff>
      <xdr:row>4</xdr:row>
      <xdr:rowOff>142874</xdr:rowOff>
    </xdr:from>
    <xdr:to>
      <xdr:col>2</xdr:col>
      <xdr:colOff>1323975</xdr:colOff>
      <xdr:row>6</xdr:row>
      <xdr:rowOff>66673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1E1AE-8CD1-49A6-B92F-AD74FA6894DB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76525" y="1104899"/>
          <a:ext cx="1343025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1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1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</xdr:col>
      <xdr:colOff>1343025</xdr:colOff>
      <xdr:row>4</xdr:row>
      <xdr:rowOff>142874</xdr:rowOff>
    </xdr:from>
    <xdr:to>
      <xdr:col>3</xdr:col>
      <xdr:colOff>85725</xdr:colOff>
      <xdr:row>6</xdr:row>
      <xdr:rowOff>66673</xdr:rowOff>
    </xdr:to>
    <xdr:sp macro="" textlink="">
      <xdr:nvSpPr>
        <xdr:cNvPr id="12" name="Retângulo: Cantos Arredondado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3D6CD7-98C2-4BF8-9C13-9DDA4FA7B2AF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038600" y="1104899"/>
          <a:ext cx="1333500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0</xdr:col>
      <xdr:colOff>434976</xdr:colOff>
      <xdr:row>2</xdr:row>
      <xdr:rowOff>254000</xdr:rowOff>
    </xdr:from>
    <xdr:to>
      <xdr:col>0</xdr:col>
      <xdr:colOff>1554163</xdr:colOff>
      <xdr:row>8</xdr:row>
      <xdr:rowOff>77787</xdr:rowOff>
    </xdr:to>
    <xdr:pic>
      <xdr:nvPicPr>
        <xdr:cNvPr id="14" name="leao" descr="Lion - Free animals icons">
          <a:extLst>
            <a:ext uri="{FF2B5EF4-FFF2-40B4-BE49-F238E27FC236}">
              <a16:creationId xmlns:a16="http://schemas.microsoft.com/office/drawing/2014/main" id="{B0226BF6-F95A-4BAE-EFEE-AFF713FC6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6" y="635000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112713</xdr:colOff>
      <xdr:row>22</xdr:row>
      <xdr:rowOff>149225</xdr:rowOff>
    </xdr:from>
    <xdr:to>
      <xdr:col>0</xdr:col>
      <xdr:colOff>1925638</xdr:colOff>
      <xdr:row>25</xdr:row>
      <xdr:rowOff>92075</xdr:rowOff>
    </xdr:to>
    <xdr:grpSp>
      <xdr:nvGrpSpPr>
        <xdr:cNvPr id="15" name="autora">
          <a:extLst>
            <a:ext uri="{FF2B5EF4-FFF2-40B4-BE49-F238E27FC236}">
              <a16:creationId xmlns:a16="http://schemas.microsoft.com/office/drawing/2014/main" id="{AEE0CC21-1AA6-95B9-41FA-C667E55B3436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21" name="icon_linkedin" descr="Linkedin Logo White PNGs for Free Download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33B1E-54BF-8BD1-9297-B8ECED7836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22" name="autoria">
            <a:extLst>
              <a:ext uri="{FF2B5EF4-FFF2-40B4-BE49-F238E27FC236}">
                <a16:creationId xmlns:a16="http://schemas.microsoft.com/office/drawing/2014/main" id="{36CB614C-9879-F0BC-5323-4E32107E7222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id="{273BBA6B-DD96-7550-80D0-186FD5FD24B6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149225</xdr:rowOff>
    </xdr:from>
    <xdr:to>
      <xdr:col>0</xdr:col>
      <xdr:colOff>1968500</xdr:colOff>
      <xdr:row>11</xdr:row>
      <xdr:rowOff>130175</xdr:rowOff>
    </xdr:to>
    <xdr:sp macro="" textlink="">
      <xdr:nvSpPr>
        <xdr:cNvPr id="16" name="Retângulo: Cantos Arredondados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003C54-A90B-6534-758F-4179DE39EB43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17</xdr:row>
      <xdr:rowOff>8732</xdr:rowOff>
    </xdr:from>
    <xdr:to>
      <xdr:col>0</xdr:col>
      <xdr:colOff>1968500</xdr:colOff>
      <xdr:row>18</xdr:row>
      <xdr:rowOff>199232</xdr:rowOff>
    </xdr:to>
    <xdr:sp macro="" textlink="">
      <xdr:nvSpPr>
        <xdr:cNvPr id="17" name="Retângulo: Cantos Arredondado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D14F2D-7F23-E6E6-B0FC-02E925FFA27A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12</xdr:row>
      <xdr:rowOff>32544</xdr:rowOff>
    </xdr:from>
    <xdr:to>
      <xdr:col>0</xdr:col>
      <xdr:colOff>1968500</xdr:colOff>
      <xdr:row>14</xdr:row>
      <xdr:rowOff>13494</xdr:rowOff>
    </xdr:to>
    <xdr:sp macro="" textlink="">
      <xdr:nvSpPr>
        <xdr:cNvPr id="18" name="Retângulo: Cantos Arredondado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C52D3B-4925-6B4E-6E5A-A91074344B1A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125413</xdr:rowOff>
    </xdr:from>
    <xdr:to>
      <xdr:col>0</xdr:col>
      <xdr:colOff>1968500</xdr:colOff>
      <xdr:row>16</xdr:row>
      <xdr:rowOff>106363</xdr:rowOff>
    </xdr:to>
    <xdr:sp macro="" textlink="">
      <xdr:nvSpPr>
        <xdr:cNvPr id="19" name="Retângulo: Cantos Arredondado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5F1DC5-47FB-7C5D-EDED-7CFA6985CE20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>
                <a:lumMod val="100000"/>
              </a:srgbClr>
            </a:gs>
            <a:gs pos="95000">
              <a:srgbClr val="6124E8">
                <a:alpha val="63000"/>
                <a:lumMod val="80000"/>
                <a:lumOff val="20000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101600</xdr:rowOff>
    </xdr:from>
    <xdr:to>
      <xdr:col>0</xdr:col>
      <xdr:colOff>1968500</xdr:colOff>
      <xdr:row>21</xdr:row>
      <xdr:rowOff>82550</xdr:rowOff>
    </xdr:to>
    <xdr:sp macro="" textlink="">
      <xdr:nvSpPr>
        <xdr:cNvPr id="20" name="Retângulo: Cantos Arredondado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B538D8B-6809-7C07-EADC-9AB9AB6E661F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65A288E-B663-4B59-A57E-45448714E63A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0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0</xdr:col>
      <xdr:colOff>112713</xdr:colOff>
      <xdr:row>22</xdr:row>
      <xdr:rowOff>149225</xdr:rowOff>
    </xdr:from>
    <xdr:to>
      <xdr:col>0</xdr:col>
      <xdr:colOff>1925638</xdr:colOff>
      <xdr:row>25</xdr:row>
      <xdr:rowOff>92075</xdr:rowOff>
    </xdr:to>
    <xdr:grpSp>
      <xdr:nvGrpSpPr>
        <xdr:cNvPr id="14" name="autora">
          <a:extLst>
            <a:ext uri="{FF2B5EF4-FFF2-40B4-BE49-F238E27FC236}">
              <a16:creationId xmlns:a16="http://schemas.microsoft.com/office/drawing/2014/main" id="{C17D49E1-2ADA-3DC0-D284-D1CC26321D02}"/>
            </a:ext>
          </a:extLst>
        </xdr:cNvPr>
        <xdr:cNvGrpSpPr/>
      </xdr:nvGrpSpPr>
      <xdr:grpSpPr>
        <a:xfrm>
          <a:off x="112713" y="4740275"/>
          <a:ext cx="1812925" cy="571500"/>
          <a:chOff x="101600" y="3848100"/>
          <a:chExt cx="1812925" cy="571500"/>
        </a:xfrm>
      </xdr:grpSpPr>
      <xdr:pic>
        <xdr:nvPicPr>
          <xdr:cNvPr id="20" name="icon_linkedin" descr="Linkedin Logo White PNGs for Free Download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2034EFD-548B-AEAF-07FD-43CB3550FC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3500" y="3898900"/>
            <a:ext cx="457200" cy="457200"/>
          </a:xfrm>
          <a:prstGeom prst="rect">
            <a:avLst/>
          </a:prstGeom>
          <a:noFill/>
          <a:ln>
            <a:noFill/>
          </a:ln>
          <a:effectLst>
            <a:outerShdw blurRad="12700" dist="50800" dir="5400000" algn="ctr" rotWithShape="0">
              <a:srgbClr val="000000">
                <a:alpha val="43137"/>
              </a:srgbClr>
            </a:outerShdw>
          </a:effectLst>
        </xdr:spPr>
      </xdr:pic>
      <xdr:sp macro="" textlink="">
        <xdr:nvSpPr>
          <xdr:cNvPr id="21" name="autoria">
            <a:extLst>
              <a:ext uri="{FF2B5EF4-FFF2-40B4-BE49-F238E27FC236}">
                <a16:creationId xmlns:a16="http://schemas.microsoft.com/office/drawing/2014/main" id="{9E9AA230-D4F7-1C79-2724-7DF73ABA54E2}"/>
              </a:ext>
              <a:ext uri="{147F2762-F138-4A5C-976F-8EAC2B608ADB}">
                <a16:predDERef xmlns:a16="http://schemas.microsoft.com/office/drawing/2014/main" pred="{3619124D-96A2-446C-B15F-09D56A80E3DE}"/>
              </a:ext>
            </a:extLst>
          </xdr:cNvPr>
          <xdr:cNvSpPr/>
        </xdr:nvSpPr>
        <xdr:spPr>
          <a:xfrm>
            <a:off x="101600" y="3848100"/>
            <a:ext cx="1419225" cy="571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SYSTEM</a:t>
            </a:r>
            <a:r>
              <a:rPr lang="pt-BR" sz="1100" baseline="0"/>
              <a:t> BY MARIA</a:t>
            </a:r>
            <a:endParaRPr lang="pt-BR" sz="1100"/>
          </a:p>
        </xdr:txBody>
      </xdr:sp>
      <xdr:cxnSp macro="">
        <xdr:nvCxnSpPr>
          <xdr:cNvPr id="22" name="Conector reto 21">
            <a:extLst>
              <a:ext uri="{FF2B5EF4-FFF2-40B4-BE49-F238E27FC236}">
                <a16:creationId xmlns:a16="http://schemas.microsoft.com/office/drawing/2014/main" id="{F59CDA59-1AC9-7C2E-3066-89BDFDE2583B}"/>
              </a:ext>
            </a:extLst>
          </xdr:cNvPr>
          <xdr:cNvCxnSpPr/>
        </xdr:nvCxnSpPr>
        <xdr:spPr>
          <a:xfrm>
            <a:off x="104775" y="3895725"/>
            <a:ext cx="1809750" cy="0"/>
          </a:xfrm>
          <a:prstGeom prst="line">
            <a:avLst/>
          </a:prstGeom>
          <a:ln w="9525">
            <a:solidFill>
              <a:srgbClr val="EE37BF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101600</xdr:colOff>
      <xdr:row>9</xdr:row>
      <xdr:rowOff>149225</xdr:rowOff>
    </xdr:from>
    <xdr:to>
      <xdr:col>0</xdr:col>
      <xdr:colOff>1968500</xdr:colOff>
      <xdr:row>11</xdr:row>
      <xdr:rowOff>130175</xdr:rowOff>
    </xdr:to>
    <xdr:sp macro="" textlink="">
      <xdr:nvSpPr>
        <xdr:cNvPr id="15" name="Retângulo: Cantos Arredondado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460D6E-D6BF-DBB0-4D30-2D96152C58C5}"/>
            </a:ext>
          </a:extLst>
        </xdr:cNvPr>
        <xdr:cNvSpPr/>
      </xdr:nvSpPr>
      <xdr:spPr>
        <a:xfrm>
          <a:off x="101600" y="2016125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>
    <xdr:from>
      <xdr:col>0</xdr:col>
      <xdr:colOff>101600</xdr:colOff>
      <xdr:row>17</xdr:row>
      <xdr:rowOff>8732</xdr:rowOff>
    </xdr:from>
    <xdr:to>
      <xdr:col>0</xdr:col>
      <xdr:colOff>1968500</xdr:colOff>
      <xdr:row>18</xdr:row>
      <xdr:rowOff>199232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074D86-F279-3FFF-A22A-F23CC6D46611}"/>
            </a:ext>
          </a:extLst>
        </xdr:cNvPr>
        <xdr:cNvSpPr/>
      </xdr:nvSpPr>
      <xdr:spPr>
        <a:xfrm>
          <a:off x="101600" y="3552032"/>
          <a:ext cx="1866900" cy="400050"/>
        </a:xfrm>
        <a:prstGeom prst="roundRect">
          <a:avLst>
            <a:gd name="adj" fmla="val 50000"/>
          </a:avLst>
        </a:prstGeom>
        <a:gradFill flip="none" rotWithShape="1">
          <a:gsLst>
            <a:gs pos="15000">
              <a:srgbClr val="EE37BF"/>
            </a:gs>
            <a:gs pos="95000">
              <a:srgbClr val="8150ED">
                <a:alpha val="62745"/>
              </a:srgb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DEDUTÍVEIS</a:t>
          </a:r>
          <a:endParaRPr lang="pt-BR" sz="1800" b="1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0</xdr:col>
      <xdr:colOff>101600</xdr:colOff>
      <xdr:row>12</xdr:row>
      <xdr:rowOff>32544</xdr:rowOff>
    </xdr:from>
    <xdr:to>
      <xdr:col>0</xdr:col>
      <xdr:colOff>1968500</xdr:colOff>
      <xdr:row>14</xdr:row>
      <xdr:rowOff>13494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F08509-3411-DF51-4E6E-BC352EAD73B9}"/>
            </a:ext>
          </a:extLst>
        </xdr:cNvPr>
        <xdr:cNvSpPr/>
      </xdr:nvSpPr>
      <xdr:spPr>
        <a:xfrm>
          <a:off x="101600" y="2528094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>
    <xdr:from>
      <xdr:col>0</xdr:col>
      <xdr:colOff>101600</xdr:colOff>
      <xdr:row>14</xdr:row>
      <xdr:rowOff>125413</xdr:rowOff>
    </xdr:from>
    <xdr:to>
      <xdr:col>0</xdr:col>
      <xdr:colOff>1968500</xdr:colOff>
      <xdr:row>16</xdr:row>
      <xdr:rowOff>106363</xdr:rowOff>
    </xdr:to>
    <xdr:sp macro="" textlink="">
      <xdr:nvSpPr>
        <xdr:cNvPr id="18" name="Retângulo: Cantos Arredondado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49BE40-11F6-C59E-551E-5C0BB80C455B}"/>
            </a:ext>
          </a:extLst>
        </xdr:cNvPr>
        <xdr:cNvSpPr/>
      </xdr:nvSpPr>
      <xdr:spPr>
        <a:xfrm>
          <a:off x="101600" y="3040063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ENTRADAS</a:t>
          </a:r>
        </a:p>
      </xdr:txBody>
    </xdr:sp>
    <xdr:clientData/>
  </xdr:twoCellAnchor>
  <xdr:twoCellAnchor>
    <xdr:from>
      <xdr:col>0</xdr:col>
      <xdr:colOff>101600</xdr:colOff>
      <xdr:row>19</xdr:row>
      <xdr:rowOff>101600</xdr:rowOff>
    </xdr:from>
    <xdr:to>
      <xdr:col>0</xdr:col>
      <xdr:colOff>1968500</xdr:colOff>
      <xdr:row>21</xdr:row>
      <xdr:rowOff>82550</xdr:rowOff>
    </xdr:to>
    <xdr:sp macro="" textlink="">
      <xdr:nvSpPr>
        <xdr:cNvPr id="19" name="Retângulo: Cantos Arredondado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FD1A969-88F2-334F-4FFD-683D9F5EDCBC}"/>
            </a:ext>
          </a:extLst>
        </xdr:cNvPr>
        <xdr:cNvSpPr/>
      </xdr:nvSpPr>
      <xdr:spPr>
        <a:xfrm>
          <a:off x="101600" y="4064000"/>
          <a:ext cx="1866900" cy="4000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RESUMO FINAL</a:t>
          </a:r>
        </a:p>
      </xdr:txBody>
    </xdr:sp>
    <xdr:clientData/>
  </xdr:twoCellAnchor>
  <xdr:twoCellAnchor>
    <xdr:from>
      <xdr:col>1</xdr:col>
      <xdr:colOff>595312</xdr:colOff>
      <xdr:row>4</xdr:row>
      <xdr:rowOff>157163</xdr:rowOff>
    </xdr:from>
    <xdr:to>
      <xdr:col>2</xdr:col>
      <xdr:colOff>1331118</xdr:colOff>
      <xdr:row>6</xdr:row>
      <xdr:rowOff>80962</xdr:rowOff>
    </xdr:to>
    <xdr:sp macro="" textlink="">
      <xdr:nvSpPr>
        <xdr:cNvPr id="23" name="Retângulo: Cantos Arredondados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CF86338-C1C4-4794-B02B-B4EB466AEAD9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2681287" y="1119188"/>
          <a:ext cx="1345406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</a:t>
          </a:r>
          <a:r>
            <a:rPr lang="en-US" sz="11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ANTERIOR</a:t>
          </a:r>
          <a:endParaRPr lang="en-US" sz="11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2</xdr:col>
      <xdr:colOff>1350168</xdr:colOff>
      <xdr:row>4</xdr:row>
      <xdr:rowOff>157163</xdr:rowOff>
    </xdr:from>
    <xdr:to>
      <xdr:col>3</xdr:col>
      <xdr:colOff>635793</xdr:colOff>
      <xdr:row>6</xdr:row>
      <xdr:rowOff>80962</xdr:rowOff>
    </xdr:to>
    <xdr:sp macro="" textlink="">
      <xdr:nvSpPr>
        <xdr:cNvPr id="24" name="Retângulo: Cantos Arredondados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75932FE-4B18-4090-BFE3-D8F04A3A7289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4045743" y="1119188"/>
          <a:ext cx="1333500" cy="304799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  <xdr:twoCellAnchor>
    <xdr:from>
      <xdr:col>0</xdr:col>
      <xdr:colOff>438150</xdr:colOff>
      <xdr:row>3</xdr:row>
      <xdr:rowOff>19050</xdr:rowOff>
    </xdr:from>
    <xdr:to>
      <xdr:col>0</xdr:col>
      <xdr:colOff>1557337</xdr:colOff>
      <xdr:row>8</xdr:row>
      <xdr:rowOff>80962</xdr:rowOff>
    </xdr:to>
    <xdr:pic>
      <xdr:nvPicPr>
        <xdr:cNvPr id="2" name="leao" descr="Lion - Free animals icons">
          <a:extLst>
            <a:ext uri="{FF2B5EF4-FFF2-40B4-BE49-F238E27FC236}">
              <a16:creationId xmlns:a16="http://schemas.microsoft.com/office/drawing/2014/main" id="{9D99A1C0-98B2-403E-A26C-7C4FE9302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657225"/>
          <a:ext cx="1119187" cy="1119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0</xdr:col>
      <xdr:colOff>2019300</xdr:colOff>
      <xdr:row>2</xdr:row>
      <xdr:rowOff>142875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6665160-64EC-4931-9086-F28F9B8DFEC0}"/>
            </a:ext>
          </a:extLst>
        </xdr:cNvPr>
        <xdr:cNvSpPr/>
      </xdr:nvSpPr>
      <xdr:spPr>
        <a:xfrm>
          <a:off x="0" y="19050"/>
          <a:ext cx="2019300" cy="5048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34000">
                    <a:srgbClr val="EE37BF"/>
                  </a:gs>
                  <a:gs pos="100000">
                    <a:srgbClr val="6124E8">
                      <a:lumMod val="70000"/>
                      <a:lumOff val="30000"/>
                    </a:srgbClr>
                  </a:gs>
                  <a:gs pos="3000">
                    <a:srgbClr val="FFFFFF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TAX</a:t>
          </a:r>
          <a:endParaRPr lang="pt-BR" sz="2400" b="1">
            <a:gradFill flip="none" rotWithShape="1">
              <a:gsLst>
                <a:gs pos="34000">
                  <a:srgbClr val="EE37BF"/>
                </a:gs>
                <a:gs pos="100000">
                  <a:srgbClr val="6124E8">
                    <a:lumMod val="70000"/>
                    <a:lumOff val="30000"/>
                  </a:srgbClr>
                </a:gs>
                <a:gs pos="3000">
                  <a:srgbClr val="FFFFFF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2</xdr:col>
      <xdr:colOff>142875</xdr:colOff>
      <xdr:row>4</xdr:row>
      <xdr:rowOff>123825</xdr:rowOff>
    </xdr:from>
    <xdr:to>
      <xdr:col>2</xdr:col>
      <xdr:colOff>2209800</xdr:colOff>
      <xdr:row>8</xdr:row>
      <xdr:rowOff>66675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30CF0529-6CC1-8447-2C28-0EA4D4792639}"/>
            </a:ext>
          </a:extLst>
        </xdr:cNvPr>
        <xdr:cNvSpPr/>
      </xdr:nvSpPr>
      <xdr:spPr>
        <a:xfrm>
          <a:off x="2838450" y="1114425"/>
          <a:ext cx="2066925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278606</xdr:colOff>
      <xdr:row>4</xdr:row>
      <xdr:rowOff>123825</xdr:rowOff>
    </xdr:from>
    <xdr:to>
      <xdr:col>3</xdr:col>
      <xdr:colOff>2388394</xdr:colOff>
      <xdr:row>8</xdr:row>
      <xdr:rowOff>66675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54E36B7A-ACF3-4024-AD57-573BFE733586}"/>
            </a:ext>
          </a:extLst>
        </xdr:cNvPr>
        <xdr:cNvSpPr/>
      </xdr:nvSpPr>
      <xdr:spPr>
        <a:xfrm>
          <a:off x="5355431" y="1114425"/>
          <a:ext cx="2109788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171450</xdr:colOff>
      <xdr:row>4</xdr:row>
      <xdr:rowOff>123825</xdr:rowOff>
    </xdr:from>
    <xdr:to>
      <xdr:col>5</xdr:col>
      <xdr:colOff>2238375</xdr:colOff>
      <xdr:row>8</xdr:row>
      <xdr:rowOff>66675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3FD2910-6DFA-40ED-AB09-E44EC2CE827D}"/>
            </a:ext>
          </a:extLst>
        </xdr:cNvPr>
        <xdr:cNvSpPr/>
      </xdr:nvSpPr>
      <xdr:spPr>
        <a:xfrm>
          <a:off x="7858125" y="1114425"/>
          <a:ext cx="2066925" cy="9810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142875</xdr:colOff>
      <xdr:row>9</xdr:row>
      <xdr:rowOff>133350</xdr:rowOff>
    </xdr:from>
    <xdr:to>
      <xdr:col>3</xdr:col>
      <xdr:colOff>2228851</xdr:colOff>
      <xdr:row>20</xdr:row>
      <xdr:rowOff>0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9E8E050-3321-4029-A10C-AF45BE6053B4}"/>
            </a:ext>
          </a:extLst>
        </xdr:cNvPr>
        <xdr:cNvSpPr/>
      </xdr:nvSpPr>
      <xdr:spPr>
        <a:xfrm>
          <a:off x="2838450" y="2352675"/>
          <a:ext cx="4467226" cy="2076450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1095375</xdr:colOff>
      <xdr:row>9</xdr:row>
      <xdr:rowOff>171450</xdr:rowOff>
    </xdr:from>
    <xdr:ext cx="2525628" cy="305533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2C29FDF3-F934-1DD3-2209-017FA6AE4271}"/>
            </a:ext>
          </a:extLst>
        </xdr:cNvPr>
        <xdr:cNvSpPr txBox="1"/>
      </xdr:nvSpPr>
      <xdr:spPr>
        <a:xfrm>
          <a:off x="3790950" y="2390775"/>
          <a:ext cx="2525628" cy="3055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5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DADOS DO TITULAR - RESUMO </a:t>
          </a:r>
        </a:p>
      </xdr:txBody>
    </xdr:sp>
    <xdr:clientData/>
  </xdr:oneCellAnchor>
  <xdr:twoCellAnchor editAs="oneCell">
    <xdr:from>
      <xdr:col>2</xdr:col>
      <xdr:colOff>219075</xdr:colOff>
      <xdr:row>12</xdr:row>
      <xdr:rowOff>209550</xdr:rowOff>
    </xdr:from>
    <xdr:to>
      <xdr:col>2</xdr:col>
      <xdr:colOff>981075</xdr:colOff>
      <xdr:row>16</xdr:row>
      <xdr:rowOff>152400</xdr:rowOff>
    </xdr:to>
    <xdr:pic>
      <xdr:nvPicPr>
        <xdr:cNvPr id="29" name="Gráfico 28" descr="Catálogo de endereços estrutura de tópicos">
          <a:extLst>
            <a:ext uri="{FF2B5EF4-FFF2-40B4-BE49-F238E27FC236}">
              <a16:creationId xmlns:a16="http://schemas.microsoft.com/office/drawing/2014/main" id="{7AC4C8D5-F261-838E-5E41-5B97194B4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4650" y="3028950"/>
          <a:ext cx="762000" cy="762000"/>
        </a:xfrm>
        <a:prstGeom prst="rect">
          <a:avLst/>
        </a:prstGeom>
      </xdr:spPr>
    </xdr:pic>
    <xdr:clientData/>
  </xdr:twoCellAnchor>
  <xdr:oneCellAnchor>
    <xdr:from>
      <xdr:col>2</xdr:col>
      <xdr:colOff>1076325</xdr:colOff>
      <xdr:row>11</xdr:row>
      <xdr:rowOff>142875</xdr:rowOff>
    </xdr:from>
    <xdr:ext cx="1491947" cy="1525033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5CE0517-4265-04A2-7EE1-668CB0079B63}"/>
            </a:ext>
          </a:extLst>
        </xdr:cNvPr>
        <xdr:cNvSpPr txBox="1"/>
      </xdr:nvSpPr>
      <xdr:spPr>
        <a:xfrm>
          <a:off x="3771900" y="2771775"/>
          <a:ext cx="1491947" cy="15250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Nome: 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CPF: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Cônjuge: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Rua: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CEP: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E-mail:</a:t>
          </a:r>
        </a:p>
        <a:p>
          <a:r>
            <a:rPr lang="pt-BR" sz="1200" b="0">
              <a:latin typeface="Segoe UI Semibold" panose="020B0702040204020203" pitchFamily="34" charset="0"/>
              <a:cs typeface="Segoe UI Semibold" panose="020B0702040204020203" pitchFamily="34" charset="0"/>
            </a:rPr>
            <a:t>Residente</a:t>
          </a:r>
          <a:r>
            <a:rPr lang="pt-BR" sz="1200" b="0" baseline="0">
              <a:latin typeface="Segoe UI Semibold" panose="020B0702040204020203" pitchFamily="34" charset="0"/>
              <a:cs typeface="Segoe UI Semibold" panose="020B0702040204020203" pitchFamily="34" charset="0"/>
            </a:rPr>
            <a:t> exterior:</a:t>
          </a:r>
          <a:endParaRPr lang="pt-BR" sz="1200" b="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oneCellAnchor>
  <xdr:twoCellAnchor>
    <xdr:from>
      <xdr:col>0</xdr:col>
      <xdr:colOff>101600</xdr:colOff>
      <xdr:row>2</xdr:row>
      <xdr:rowOff>254000</xdr:rowOff>
    </xdr:from>
    <xdr:to>
      <xdr:col>0</xdr:col>
      <xdr:colOff>1968500</xdr:colOff>
      <xdr:row>24</xdr:row>
      <xdr:rowOff>184150</xdr:rowOff>
    </xdr:to>
    <xdr:grpSp>
      <xdr:nvGrpSpPr>
        <xdr:cNvPr id="36" name="grupo">
          <a:extLst>
            <a:ext uri="{FF2B5EF4-FFF2-40B4-BE49-F238E27FC236}">
              <a16:creationId xmlns:a16="http://schemas.microsoft.com/office/drawing/2014/main" id="{4F0948A9-7176-C18F-C5E9-46D664C31475}"/>
            </a:ext>
          </a:extLst>
        </xdr:cNvPr>
        <xdr:cNvGrpSpPr/>
      </xdr:nvGrpSpPr>
      <xdr:grpSpPr>
        <a:xfrm>
          <a:off x="101600" y="635000"/>
          <a:ext cx="1866900" cy="4740275"/>
          <a:chOff x="101600" y="695325"/>
          <a:chExt cx="1866900" cy="474027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2824BD69-43E0-8032-2A92-833FAED6BA76}"/>
              </a:ext>
            </a:extLst>
          </xdr:cNvPr>
          <xdr:cNvGrpSpPr/>
        </xdr:nvGrpSpPr>
        <xdr:grpSpPr>
          <a:xfrm>
            <a:off x="101600" y="2216150"/>
            <a:ext cx="1866900" cy="3219450"/>
            <a:chOff x="101600" y="2216150"/>
            <a:chExt cx="1866900" cy="3219450"/>
          </a:xfrm>
        </xdr:grpSpPr>
        <xdr:grpSp>
          <xdr:nvGrpSpPr>
            <xdr:cNvPr id="13" name="autora">
              <a:extLst>
                <a:ext uri="{FF2B5EF4-FFF2-40B4-BE49-F238E27FC236}">
                  <a16:creationId xmlns:a16="http://schemas.microsoft.com/office/drawing/2014/main" id="{F34134BB-01DD-DF54-4DAC-DB12C7AA5880}"/>
                </a:ext>
              </a:extLst>
            </xdr:cNvPr>
            <xdr:cNvGrpSpPr/>
          </xdr:nvGrpSpPr>
          <xdr:grpSpPr>
            <a:xfrm>
              <a:off x="112713" y="4864100"/>
              <a:ext cx="1812925" cy="571500"/>
              <a:chOff x="101600" y="3848100"/>
              <a:chExt cx="1812925" cy="571500"/>
            </a:xfrm>
          </xdr:grpSpPr>
          <xdr:pic>
            <xdr:nvPicPr>
              <xdr:cNvPr id="19" name="icon_linkedin" descr="Linkedin Logo White PNGs for Free Download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DD432490-26E1-031F-8CEE-6F38E9FEBD9C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333500" y="3898900"/>
                <a:ext cx="457200" cy="457200"/>
              </a:xfrm>
              <a:prstGeom prst="rect">
                <a:avLst/>
              </a:prstGeom>
              <a:noFill/>
              <a:ln>
                <a:noFill/>
              </a:ln>
              <a:effectLst>
                <a:outerShdw blurRad="12700" dist="50800" dir="5400000" algn="ctr" rotWithShape="0">
                  <a:srgbClr val="000000">
                    <a:alpha val="43137"/>
                  </a:srgbClr>
                </a:outerShdw>
              </a:effectLst>
            </xdr:spPr>
          </xdr:pic>
          <xdr:sp macro="" textlink="">
            <xdr:nvSpPr>
              <xdr:cNvPr id="20" name="autoria">
                <a:extLst>
                  <a:ext uri="{FF2B5EF4-FFF2-40B4-BE49-F238E27FC236}">
                    <a16:creationId xmlns:a16="http://schemas.microsoft.com/office/drawing/2014/main" id="{3E389403-88AC-2F0E-B93C-E0143B90B066}"/>
                  </a:ext>
                  <a:ext uri="{147F2762-F138-4A5C-976F-8EAC2B608ADB}">
                    <a16:predDERef xmlns:a16="http://schemas.microsoft.com/office/drawing/2014/main" pred="{3619124D-96A2-446C-B15F-09D56A80E3DE}"/>
                  </a:ext>
                </a:extLst>
              </xdr:cNvPr>
              <xdr:cNvSpPr/>
            </xdr:nvSpPr>
            <xdr:spPr>
              <a:xfrm>
                <a:off x="101600" y="3848100"/>
                <a:ext cx="1419225" cy="57150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/>
                  <a:t>SYSTEM</a:t>
                </a:r>
                <a:r>
                  <a:rPr lang="pt-BR" sz="1100" baseline="0"/>
                  <a:t> BY MARIA</a:t>
                </a:r>
                <a:endParaRPr lang="pt-BR" sz="1100"/>
              </a:p>
            </xdr:txBody>
          </xdr:sp>
          <xdr:cxnSp macro="">
            <xdr:nvCxnSpPr>
              <xdr:cNvPr id="21" name="Conector reto 20">
                <a:extLst>
                  <a:ext uri="{FF2B5EF4-FFF2-40B4-BE49-F238E27FC236}">
                    <a16:creationId xmlns:a16="http://schemas.microsoft.com/office/drawing/2014/main" id="{3B2F74FF-3B4E-0FF5-3478-F7179114D46B}"/>
                  </a:ext>
                </a:extLst>
              </xdr:cNvPr>
              <xdr:cNvCxnSpPr/>
            </xdr:nvCxnSpPr>
            <xdr:spPr>
              <a:xfrm>
                <a:off x="104775" y="3895725"/>
                <a:ext cx="1809750" cy="0"/>
              </a:xfrm>
              <a:prstGeom prst="line">
                <a:avLst/>
              </a:prstGeom>
              <a:ln w="9525">
                <a:solidFill>
                  <a:srgbClr val="EE37BF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4" name="Retângulo: Cantos Arredondados 1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17C5076F-D84B-03D4-986E-D07EB4320393}"/>
                </a:ext>
              </a:extLst>
            </xdr:cNvPr>
            <xdr:cNvSpPr/>
          </xdr:nvSpPr>
          <xdr:spPr>
            <a:xfrm>
              <a:off x="101600" y="2216150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TITULAR</a:t>
              </a:r>
            </a:p>
          </xdr:txBody>
        </xdr:sp>
        <xdr:sp macro="" textlink="">
          <xdr:nvSpPr>
            <xdr:cNvPr id="15" name="Retângulo: Cantos Arredondados 1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6675BC46-1609-A351-0E9F-8C9FD215E9E3}"/>
                </a:ext>
              </a:extLst>
            </xdr:cNvPr>
            <xdr:cNvSpPr/>
          </xdr:nvSpPr>
          <xdr:spPr>
            <a:xfrm>
              <a:off x="101600" y="3704432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 baseline="0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DEDUTÍVEIS</a:t>
              </a:r>
              <a:endParaRPr lang="pt-BR" sz="1800" b="1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endParaRPr>
            </a:p>
          </xdr:txBody>
        </xdr:sp>
        <xdr:sp macro="" textlink="">
          <xdr:nvSpPr>
            <xdr:cNvPr id="16" name="Retângulo: Cantos Arredondados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D27638B9-A6DB-47F0-4BDD-7F0323B01345}"/>
                </a:ext>
              </a:extLst>
            </xdr:cNvPr>
            <xdr:cNvSpPr/>
          </xdr:nvSpPr>
          <xdr:spPr>
            <a:xfrm>
              <a:off x="101600" y="2718594"/>
              <a:ext cx="1866900" cy="39052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INFORMES</a:t>
              </a:r>
            </a:p>
          </xdr:txBody>
        </xdr:sp>
        <xdr:sp macro="" textlink="">
          <xdr:nvSpPr>
            <xdr:cNvPr id="17" name="Retângulo: Cantos Arredondados 1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E55FC66-27A6-8276-7FD7-4F1A48F5A1A2}"/>
                </a:ext>
              </a:extLst>
            </xdr:cNvPr>
            <xdr:cNvSpPr/>
          </xdr:nvSpPr>
          <xdr:spPr>
            <a:xfrm>
              <a:off x="101600" y="3221038"/>
              <a:ext cx="1866900" cy="38100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ENTRADAS</a:t>
              </a:r>
            </a:p>
          </xdr:txBody>
        </xdr:sp>
        <xdr:sp macro="" textlink="">
          <xdr:nvSpPr>
            <xdr:cNvPr id="18" name="Retângulo: Cantos Arredondados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156381C3-6189-5060-EBC3-658BC9AA7611}"/>
                </a:ext>
              </a:extLst>
            </xdr:cNvPr>
            <xdr:cNvSpPr/>
          </xdr:nvSpPr>
          <xdr:spPr>
            <a:xfrm>
              <a:off x="101600" y="4197350"/>
              <a:ext cx="1866900" cy="390525"/>
            </a:xfrm>
            <a:prstGeom prst="roundRect">
              <a:avLst>
                <a:gd name="adj" fmla="val 50000"/>
              </a:avLst>
            </a:prstGeom>
            <a:gradFill flip="none" rotWithShape="1">
              <a:gsLst>
                <a:gs pos="15000">
                  <a:srgbClr val="EE37BF">
                    <a:lumMod val="100000"/>
                  </a:srgbClr>
                </a:gs>
                <a:gs pos="95000">
                  <a:srgbClr val="6124E8">
                    <a:alpha val="63000"/>
                    <a:lumMod val="80000"/>
                    <a:lumOff val="20000"/>
                  </a:srgbClr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800" b="1">
                  <a:solidFill>
                    <a:schemeClr val="bg1"/>
                  </a:solidFill>
                  <a:latin typeface="Segoe UI Light" panose="020B0502040204020203" pitchFamily="34" charset="0"/>
                  <a:cs typeface="Segoe UI Light" panose="020B0502040204020203" pitchFamily="34" charset="0"/>
                </a:rPr>
                <a:t>RESUMO FINAL</a:t>
              </a:r>
            </a:p>
          </xdr:txBody>
        </xdr:sp>
      </xdr:grpSp>
      <xdr:pic>
        <xdr:nvPicPr>
          <xdr:cNvPr id="35" name="leao" descr="Lion - Free animals icons">
            <a:extLst>
              <a:ext uri="{FF2B5EF4-FFF2-40B4-BE49-F238E27FC236}">
                <a16:creationId xmlns:a16="http://schemas.microsoft.com/office/drawing/2014/main" id="{C9BB92B6-FC7C-4501-8280-A8F01F6F0D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695325"/>
            <a:ext cx="1119187" cy="113823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161925</xdr:colOff>
      <xdr:row>11</xdr:row>
      <xdr:rowOff>142875</xdr:rowOff>
    </xdr:from>
    <xdr:ext cx="1555106" cy="911019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0539DA6-42B5-4C29-875D-FADF930A8D13}"/>
            </a:ext>
          </a:extLst>
        </xdr:cNvPr>
        <xdr:cNvSpPr txBox="1"/>
      </xdr:nvSpPr>
      <xdr:spPr>
        <a:xfrm>
          <a:off x="7905750" y="2771775"/>
          <a:ext cx="1555106" cy="911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pt-BR" sz="1200" b="0">
              <a:latin typeface="Segoe UI" panose="020B0502040204020203" pitchFamily="34" charset="0"/>
              <a:cs typeface="Segoe UI" panose="020B0502040204020203" pitchFamily="34" charset="0"/>
            </a:rPr>
            <a:t>Dados</a:t>
          </a:r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 do titular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Informes bancários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Entradas</a:t>
          </a:r>
        </a:p>
        <a:p>
          <a:r>
            <a:rPr lang="pt-BR" sz="1200" b="0" baseline="0">
              <a:latin typeface="Segoe UI" panose="020B0502040204020203" pitchFamily="34" charset="0"/>
              <a:cs typeface="Segoe UI" panose="020B0502040204020203" pitchFamily="34" charset="0"/>
            </a:rPr>
            <a:t>Despesas dedutíveis</a:t>
          </a:r>
        </a:p>
      </xdr:txBody>
    </xdr:sp>
    <xdr:clientData/>
  </xdr:oneCellAnchor>
  <xdr:oneCellAnchor>
    <xdr:from>
      <xdr:col>3</xdr:col>
      <xdr:colOff>400050</xdr:colOff>
      <xdr:row>4</xdr:row>
      <xdr:rowOff>152400</xdr:rowOff>
    </xdr:from>
    <xdr:ext cx="1875193" cy="51873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0CA09D4-C756-4F70-9D36-62A5E021ED89}"/>
            </a:ext>
          </a:extLst>
        </xdr:cNvPr>
        <xdr:cNvSpPr txBox="1"/>
      </xdr:nvSpPr>
      <xdr:spPr>
        <a:xfrm>
          <a:off x="5476875" y="1143000"/>
          <a:ext cx="1875193" cy="518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RENDIMENTOS </a:t>
          </a:r>
        </a:p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(ENTRADAS)</a:t>
          </a:r>
        </a:p>
      </xdr:txBody>
    </xdr:sp>
    <xdr:clientData/>
  </xdr:oneCellAnchor>
  <xdr:twoCellAnchor>
    <xdr:from>
      <xdr:col>4</xdr:col>
      <xdr:colOff>1</xdr:colOff>
      <xdr:row>9</xdr:row>
      <xdr:rowOff>142875</xdr:rowOff>
    </xdr:from>
    <xdr:to>
      <xdr:col>6</xdr:col>
      <xdr:colOff>28575</xdr:colOff>
      <xdr:row>16</xdr:row>
      <xdr:rowOff>123825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A0CF275-0747-41E7-BD0E-ACB31A2E5223}"/>
            </a:ext>
          </a:extLst>
        </xdr:cNvPr>
        <xdr:cNvSpPr/>
      </xdr:nvSpPr>
      <xdr:spPr>
        <a:xfrm>
          <a:off x="7581901" y="2362200"/>
          <a:ext cx="2362199" cy="14001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407209</xdr:colOff>
      <xdr:row>4</xdr:row>
      <xdr:rowOff>160928</xdr:rowOff>
    </xdr:from>
    <xdr:ext cx="1537024" cy="50167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53C05852-F39F-4C00-9AB0-C81088203746}"/>
            </a:ext>
          </a:extLst>
        </xdr:cNvPr>
        <xdr:cNvSpPr txBox="1"/>
      </xdr:nvSpPr>
      <xdr:spPr>
        <a:xfrm>
          <a:off x="8151034" y="1151528"/>
          <a:ext cx="1537024" cy="501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TOTAL DEDUTÍVEIS</a:t>
          </a:r>
        </a:p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(DESPESAS)</a:t>
          </a:r>
        </a:p>
      </xdr:txBody>
    </xdr:sp>
    <xdr:clientData/>
  </xdr:oneCellAnchor>
  <xdr:oneCellAnchor>
    <xdr:from>
      <xdr:col>5</xdr:col>
      <xdr:colOff>566633</xdr:colOff>
      <xdr:row>9</xdr:row>
      <xdr:rowOff>168014</xdr:rowOff>
    </xdr:from>
    <xdr:ext cx="951478" cy="29700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A48560C-0790-4B29-AE5F-4164C4C824E7}"/>
            </a:ext>
          </a:extLst>
        </xdr:cNvPr>
        <xdr:cNvSpPr txBox="1"/>
      </xdr:nvSpPr>
      <xdr:spPr>
        <a:xfrm>
          <a:off x="8310458" y="2387339"/>
          <a:ext cx="951478" cy="2970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200" b="0">
              <a:solidFill>
                <a:schemeClr val="accent5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CHECKLIST</a:t>
          </a:r>
        </a:p>
      </xdr:txBody>
    </xdr:sp>
    <xdr:clientData/>
  </xdr:oneCellAnchor>
  <xdr:twoCellAnchor>
    <xdr:from>
      <xdr:col>2</xdr:col>
      <xdr:colOff>600075</xdr:colOff>
      <xdr:row>21</xdr:row>
      <xdr:rowOff>76200</xdr:rowOff>
    </xdr:from>
    <xdr:to>
      <xdr:col>3</xdr:col>
      <xdr:colOff>1371600</xdr:colOff>
      <xdr:row>23</xdr:row>
      <xdr:rowOff>85725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85AD3B1-7881-438D-BD86-91476A42514D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3295650" y="4695825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&lt;- ANTERIOR</a:t>
          </a:r>
        </a:p>
      </xdr:txBody>
    </xdr:sp>
    <xdr:clientData/>
  </xdr:twoCellAnchor>
  <xdr:twoCellAnchor>
    <xdr:from>
      <xdr:col>4</xdr:col>
      <xdr:colOff>57151</xdr:colOff>
      <xdr:row>18</xdr:row>
      <xdr:rowOff>19050</xdr:rowOff>
    </xdr:from>
    <xdr:to>
      <xdr:col>5</xdr:col>
      <xdr:colOff>2162175</xdr:colOff>
      <xdr:row>20</xdr:row>
      <xdr:rowOff>0</xdr:rowOff>
    </xdr:to>
    <xdr:sp macro="[0]!SalvarTodasPaginasEm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4769F1C-DFE3-4103-BBD5-B32EEA22B3E6}"/>
            </a:ext>
          </a:extLst>
        </xdr:cNvPr>
        <xdr:cNvSpPr/>
      </xdr:nvSpPr>
      <xdr:spPr>
        <a:xfrm>
          <a:off x="7639051" y="4057650"/>
          <a:ext cx="2266949" cy="371475"/>
        </a:xfrm>
        <a:prstGeom prst="roundRect">
          <a:avLst/>
        </a:prstGeom>
        <a:noFill/>
        <a:ln>
          <a:gradFill>
            <a:gsLst>
              <a:gs pos="15000">
                <a:srgbClr val="EE37BF"/>
              </a:gs>
              <a:gs pos="91000">
                <a:srgbClr val="6124E8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ysClr val="windowText" lastClr="000000"/>
              </a:solidFill>
              <a:latin typeface="Segoe UI Semibold" panose="020B0702040204020203" pitchFamily="34" charset="0"/>
              <a:ea typeface="Segoe UI Black" panose="020B0A02040204020203" pitchFamily="34" charset="0"/>
              <a:cs typeface="Segoe UI Semibold" panose="020B0702040204020203" pitchFamily="34" charset="0"/>
            </a:rPr>
            <a:t>📄 Salvar</a:t>
          </a:r>
          <a:r>
            <a:rPr lang="pt-BR" sz="1200" baseline="0">
              <a:solidFill>
                <a:sysClr val="windowText" lastClr="000000"/>
              </a:solidFill>
              <a:latin typeface="Segoe UI Semibold" panose="020B0702040204020203" pitchFamily="34" charset="0"/>
              <a:ea typeface="Segoe UI Black" panose="020B0A02040204020203" pitchFamily="34" charset="0"/>
              <a:cs typeface="Segoe UI Semibold" panose="020B0702040204020203" pitchFamily="34" charset="0"/>
            </a:rPr>
            <a:t> em PDF</a:t>
          </a:r>
          <a:endParaRPr lang="pt-BR" sz="1200">
            <a:solidFill>
              <a:sysClr val="windowText" lastClr="000000"/>
            </a:solidFill>
            <a:latin typeface="Segoe UI Semibold" panose="020B0702040204020203" pitchFamily="34" charset="0"/>
            <a:ea typeface="Segoe UI Black" panose="020B0A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1419225</xdr:colOff>
      <xdr:row>21</xdr:row>
      <xdr:rowOff>76200</xdr:rowOff>
    </xdr:from>
    <xdr:to>
      <xdr:col>5</xdr:col>
      <xdr:colOff>1905000</xdr:colOff>
      <xdr:row>23</xdr:row>
      <xdr:rowOff>85725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C0060B3-A05D-49F6-8137-56F7AF80E217}"/>
            </a:ext>
            <a:ext uri="{147F2762-F138-4A5C-976F-8EAC2B608ADB}">
              <a16:predDERef xmlns:a16="http://schemas.microsoft.com/office/drawing/2014/main" pred="{B3FD2902-4020-4496-98D1-F336FE9EB522}"/>
            </a:ext>
          </a:extLst>
        </xdr:cNvPr>
        <xdr:cNvSpPr/>
      </xdr:nvSpPr>
      <xdr:spPr>
        <a:xfrm>
          <a:off x="6496050" y="4695825"/>
          <a:ext cx="3152775" cy="390525"/>
        </a:xfrm>
        <a:prstGeom prst="roundRect">
          <a:avLst>
            <a:gd name="adj" fmla="val 0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VOLTAR</a:t>
          </a:r>
          <a:r>
            <a:rPr lang="en-US" sz="1200" b="1" baseline="0">
              <a:solidFill>
                <a:schemeClr val="lt1"/>
              </a:solidFill>
              <a:latin typeface="Segoe UI Light" panose="020B0502040204020203" pitchFamily="34" charset="0"/>
              <a:ea typeface="+mn-lt"/>
              <a:cs typeface="Segoe UI Light" panose="020B0502040204020203" pitchFamily="34" charset="0"/>
            </a:rPr>
            <a:t> A PÁGINA INICIAL</a:t>
          </a:r>
          <a:endParaRPr lang="en-US" sz="1200" b="1">
            <a:solidFill>
              <a:schemeClr val="lt1"/>
            </a:solidFill>
            <a:latin typeface="Segoe UI Light" panose="020B0502040204020203" pitchFamily="34" charset="0"/>
            <a:ea typeface="+mn-lt"/>
            <a:cs typeface="Segoe UI Light" panose="020B0502040204020203" pitchFamily="34" charset="0"/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DA96B5-BBAD-41B2-B18D-44D80E7039C7}" name="Tabela1" displayName="Tabela1" ref="C9:E36" totalsRowShown="0" headerRowDxfId="10" dataDxfId="9">
  <autoFilter ref="C9:E36" xr:uid="{E2DA96B5-BBAD-41B2-B18D-44D80E7039C7}"/>
  <tableColumns count="3">
    <tableColumn id="1" xr3:uid="{F6D91964-CB63-48D6-8FF3-9D97C0EEB75B}" name="DATA" dataDxfId="8"/>
    <tableColumn id="2" xr3:uid="{3D29B2F2-8DF2-4DBE-B161-3B7B318F33C3}" name="CATEGORIA" dataDxfId="7"/>
    <tableColumn id="3" xr3:uid="{A5BBC18C-C856-47E5-A14A-D853D490BFC3}" name="VALOR" dataDxfId="6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9B4CD0-73B7-44DB-A01E-5AE8AA24A702}" name="Tabela134" displayName="Tabela134" ref="C11:F38" totalsRowShown="0" headerRowDxfId="5" dataDxfId="4">
  <autoFilter ref="C11:F38" xr:uid="{E2DA96B5-BBAD-41B2-B18D-44D80E7039C7}"/>
  <tableColumns count="4">
    <tableColumn id="1" xr3:uid="{13F266AC-A4FE-458E-9762-90A7F9E67FBC}" name="DATA" dataDxfId="3"/>
    <tableColumn id="2" xr3:uid="{783C2982-9C8D-4F63-ACE9-5063A835C3D6}" name="CATEGORIA" dataDxfId="2"/>
    <tableColumn id="3" xr3:uid="{A2415AF8-E0E1-483D-ACD1-09A3613990DF}" name="BENEFICIÁRIO" dataDxfId="1"/>
    <tableColumn id="4" xr3:uid="{4AA38A86-6D3A-4CA1-9C17-FC7E6C920A1F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UIZA.MARIA@GMAIL.COM?subject=Oi,%20precisamos%20falar%20sobre%20sua%20declara&#231;&#227;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2F15-D87C-4D66-AC59-6546348D1D25}">
  <sheetPr codeName="Planilha5">
    <pageSetUpPr fitToPage="1"/>
  </sheetPr>
  <dimension ref="A5:E14"/>
  <sheetViews>
    <sheetView showGridLines="0" showRowColHeaders="0" tabSelected="1" workbookViewId="0">
      <selection activeCell="D25" sqref="D25"/>
    </sheetView>
  </sheetViews>
  <sheetFormatPr defaultRowHeight="15"/>
  <cols>
    <col min="1" max="1" width="31.28515625" style="1" customWidth="1"/>
    <col min="3" max="3" width="46.7109375" bestFit="1" customWidth="1"/>
    <col min="4" max="4" width="46.7109375" customWidth="1"/>
    <col min="5" max="5" width="16.5703125" customWidth="1"/>
  </cols>
  <sheetData>
    <row r="5" spans="3:5" ht="32.25" thickBot="1">
      <c r="C5" s="53" t="s">
        <v>125</v>
      </c>
      <c r="D5" s="52"/>
      <c r="E5" s="52"/>
    </row>
    <row r="6" spans="3:5" ht="17.25" thickTop="1">
      <c r="C6" s="54" t="s">
        <v>126</v>
      </c>
      <c r="D6" s="54"/>
      <c r="E6" s="54"/>
    </row>
    <row r="8" spans="3:5" ht="16.5">
      <c r="D8" s="13"/>
    </row>
    <row r="9" spans="3:5" ht="17.25">
      <c r="C9" s="55" t="s">
        <v>132</v>
      </c>
      <c r="D9" s="13"/>
    </row>
    <row r="10" spans="3:5" ht="16.5">
      <c r="C10" s="13" t="s">
        <v>127</v>
      </c>
      <c r="D10" s="13"/>
    </row>
    <row r="11" spans="3:5" ht="16.5">
      <c r="C11" s="13" t="s">
        <v>128</v>
      </c>
      <c r="D11" s="13"/>
    </row>
    <row r="12" spans="3:5" ht="16.5">
      <c r="C12" s="13" t="s">
        <v>129</v>
      </c>
      <c r="D12" s="13"/>
    </row>
    <row r="13" spans="3:5" ht="16.5">
      <c r="C13" s="13" t="s">
        <v>130</v>
      </c>
      <c r="D13" s="13"/>
    </row>
    <row r="14" spans="3:5" ht="16.5">
      <c r="C14" s="13" t="s">
        <v>131</v>
      </c>
    </row>
  </sheetData>
  <sheetProtection sheet="1" selectLockedCells="1"/>
  <mergeCells count="1">
    <mergeCell ref="C6:E6"/>
  </mergeCells>
  <printOptions horizontalCentered="1"/>
  <pageMargins left="0.511811024" right="0.511811024" top="0.78740157499999996" bottom="0.78740157499999996" header="0.31496062000000002" footer="0.31496062000000002"/>
  <pageSetup paperSize="9" scale="9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6008A-8689-40AD-A3A7-56EB2BAF30CC}">
  <sheetPr codeName="Planilha1">
    <pageSetUpPr fitToPage="1"/>
  </sheetPr>
  <dimension ref="A3:E19"/>
  <sheetViews>
    <sheetView showGridLines="0" showRowColHeaders="0" workbookViewId="0">
      <selection activeCell="D6" sqref="D6"/>
    </sheetView>
  </sheetViews>
  <sheetFormatPr defaultRowHeight="15"/>
  <cols>
    <col min="1" max="1" width="31.28515625" style="1" customWidth="1"/>
    <col min="3" max="3" width="46.7109375" bestFit="1" customWidth="1"/>
    <col min="4" max="4" width="46.7109375" customWidth="1"/>
  </cols>
  <sheetData>
    <row r="3" spans="3:5" ht="22.5" customHeight="1" thickBot="1">
      <c r="C3" s="5" t="s">
        <v>0</v>
      </c>
      <c r="D3" s="6"/>
      <c r="E3" s="6"/>
    </row>
    <row r="4" spans="3:5" ht="25.5" customHeight="1" thickTop="1">
      <c r="C4" s="7" t="s">
        <v>27</v>
      </c>
      <c r="D4" s="7"/>
      <c r="E4" s="7"/>
    </row>
    <row r="6" spans="3:5" ht="16.5">
      <c r="C6" s="2" t="s">
        <v>1</v>
      </c>
      <c r="D6" s="15" t="s">
        <v>2</v>
      </c>
    </row>
    <row r="7" spans="3:5" ht="16.5">
      <c r="C7" s="3" t="s">
        <v>3</v>
      </c>
      <c r="D7" s="16">
        <v>12312312322</v>
      </c>
    </row>
    <row r="8" spans="3:5" ht="16.5">
      <c r="C8" s="3" t="s">
        <v>4</v>
      </c>
      <c r="D8" s="17">
        <v>35042</v>
      </c>
    </row>
    <row r="9" spans="3:5" ht="16.5">
      <c r="C9" s="3" t="s">
        <v>5</v>
      </c>
      <c r="D9" s="18">
        <v>31713388</v>
      </c>
    </row>
    <row r="10" spans="3:5" ht="16.5">
      <c r="C10" s="3" t="s">
        <v>6</v>
      </c>
      <c r="D10" s="18" t="s">
        <v>7</v>
      </c>
    </row>
    <row r="11" spans="3:5" ht="16.5">
      <c r="C11" s="3" t="s">
        <v>8</v>
      </c>
      <c r="D11" s="18" t="s">
        <v>10</v>
      </c>
    </row>
    <row r="12" spans="3:5" ht="16.5">
      <c r="C12" s="3" t="s">
        <v>9</v>
      </c>
      <c r="D12" s="18" t="s">
        <v>10</v>
      </c>
    </row>
    <row r="13" spans="3:5" ht="16.5">
      <c r="C13" s="3" t="s">
        <v>11</v>
      </c>
      <c r="D13" s="19">
        <v>9450321</v>
      </c>
    </row>
    <row r="14" spans="3:5" ht="16.5">
      <c r="C14" s="3" t="s">
        <v>12</v>
      </c>
      <c r="D14" s="20">
        <v>1131714288</v>
      </c>
    </row>
    <row r="15" spans="3:5" ht="16.5">
      <c r="C15" s="3" t="s">
        <v>13</v>
      </c>
      <c r="D15" s="21">
        <v>11931713388</v>
      </c>
    </row>
    <row r="16" spans="3:5" ht="16.5">
      <c r="C16" s="3" t="s">
        <v>14</v>
      </c>
      <c r="D16" s="22" t="s">
        <v>22</v>
      </c>
    </row>
    <row r="17" spans="3:4" ht="16.5">
      <c r="C17" s="3" t="s">
        <v>15</v>
      </c>
      <c r="D17" s="18" t="s">
        <v>16</v>
      </c>
    </row>
    <row r="18" spans="3:4" ht="16.5">
      <c r="C18" s="3" t="s">
        <v>17</v>
      </c>
      <c r="D18" s="18" t="s">
        <v>16</v>
      </c>
    </row>
    <row r="19" spans="3:4" ht="16.5">
      <c r="C19" s="4" t="s">
        <v>18</v>
      </c>
      <c r="D19" s="23" t="s">
        <v>16</v>
      </c>
    </row>
  </sheetData>
  <sheetProtection sheet="1" selectLockedCells="1"/>
  <dataValidations count="1">
    <dataValidation type="list" allowBlank="1" showInputMessage="1" showErrorMessage="1" sqref="D17:D19" xr:uid="{FCD23ABA-0B14-4B25-81DA-759C279E4AE1}">
      <formula1>"SIM,NÃO"</formula1>
    </dataValidation>
  </dataValidations>
  <hyperlinks>
    <hyperlink ref="D16" r:id="rId1" xr:uid="{42321333-8C82-40A0-9CA6-CF9FB8F674E7}"/>
  </hyperlinks>
  <printOptions horizontalCentered="1"/>
  <pageMargins left="0.511811024" right="0.511811024" top="0.78740157499999996" bottom="0.78740157499999996" header="0.31496062000000002" footer="0.31496062000000002"/>
  <pageSetup paperSize="9" scale="95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9684-60C9-45FC-A066-B2D8BC5F6914}">
  <sheetPr codeName="Planilha2">
    <pageSetUpPr fitToPage="1"/>
  </sheetPr>
  <dimension ref="A3:E22"/>
  <sheetViews>
    <sheetView showGridLines="0" showRowColHeaders="0" workbookViewId="0">
      <selection activeCell="D10" sqref="D10"/>
    </sheetView>
  </sheetViews>
  <sheetFormatPr defaultRowHeight="15"/>
  <cols>
    <col min="1" max="1" width="31.28515625" style="1" customWidth="1"/>
    <col min="3" max="4" width="46.7109375" customWidth="1"/>
  </cols>
  <sheetData>
    <row r="3" spans="3:5" ht="20.25" thickBot="1">
      <c r="C3" s="8" t="s">
        <v>25</v>
      </c>
      <c r="D3" s="6"/>
      <c r="E3" s="6"/>
    </row>
    <row r="4" spans="3:5" ht="25.5" customHeight="1" thickTop="1">
      <c r="C4" s="7" t="s">
        <v>26</v>
      </c>
      <c r="D4" s="7"/>
      <c r="E4" s="7"/>
    </row>
    <row r="6" spans="3:5" ht="16.5">
      <c r="C6" s="13" t="s">
        <v>86</v>
      </c>
    </row>
    <row r="7" spans="3:5" ht="19.5" customHeight="1">
      <c r="C7" s="38">
        <f>SUM(D11,D16,D21)</f>
        <v>1500000</v>
      </c>
      <c r="D7" s="39"/>
    </row>
    <row r="9" spans="3:5">
      <c r="C9" s="12" t="s">
        <v>83</v>
      </c>
    </row>
    <row r="10" spans="3:5" ht="16.5">
      <c r="C10" s="9" t="s">
        <v>28</v>
      </c>
      <c r="D10" s="15" t="s">
        <v>45</v>
      </c>
    </row>
    <row r="11" spans="3:5" ht="16.5">
      <c r="C11" s="9" t="s">
        <v>29</v>
      </c>
      <c r="D11" s="24">
        <v>500000</v>
      </c>
    </row>
    <row r="12" spans="3:5" ht="16.5">
      <c r="C12" s="9" t="s">
        <v>30</v>
      </c>
      <c r="D12" s="15" t="s">
        <v>87</v>
      </c>
    </row>
    <row r="14" spans="3:5">
      <c r="C14" s="12" t="s">
        <v>84</v>
      </c>
    </row>
    <row r="15" spans="3:5" ht="16.5">
      <c r="C15" s="9" t="s">
        <v>28</v>
      </c>
      <c r="D15" s="15" t="s">
        <v>51</v>
      </c>
    </row>
    <row r="16" spans="3:5" ht="16.5">
      <c r="C16" s="9" t="s">
        <v>29</v>
      </c>
      <c r="D16" s="24">
        <v>500000</v>
      </c>
    </row>
    <row r="17" spans="3:4" ht="16.5">
      <c r="C17" s="9" t="s">
        <v>30</v>
      </c>
      <c r="D17" s="15" t="s">
        <v>88</v>
      </c>
    </row>
    <row r="19" spans="3:4">
      <c r="C19" s="12" t="s">
        <v>85</v>
      </c>
    </row>
    <row r="20" spans="3:4" ht="16.5">
      <c r="C20" s="9" t="s">
        <v>28</v>
      </c>
      <c r="D20" s="15" t="s">
        <v>41</v>
      </c>
    </row>
    <row r="21" spans="3:4" ht="16.5">
      <c r="C21" s="9" t="s">
        <v>29</v>
      </c>
      <c r="D21" s="24">
        <v>500000</v>
      </c>
    </row>
    <row r="22" spans="3:4" ht="16.5">
      <c r="C22" s="9" t="s">
        <v>30</v>
      </c>
      <c r="D22" s="15" t="s">
        <v>89</v>
      </c>
    </row>
  </sheetData>
  <sheetProtection sheet="1" selectLockedCells="1"/>
  <mergeCells count="1">
    <mergeCell ref="C7:D7"/>
  </mergeCells>
  <printOptions horizontalCentered="1"/>
  <pageMargins left="0.511811024" right="0.511811024" top="0.78740157499999996" bottom="0.78740157499999996" header="0.31496062000000002" footer="0.31496062000000002"/>
  <pageSetup paperSize="9" scale="9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0914D8A7-EB2F-4841-82A8-9D53BD9B5086}">
          <x14:formula1>
            <xm:f>Tabelas!$A$2:$A$51</xm:f>
          </x14:formula1>
          <xm:sqref>D10 D15 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CBDF-C998-4415-A55B-E6F685C9494F}">
  <sheetPr codeName="Planilha3">
    <pageSetUpPr fitToPage="1"/>
  </sheetPr>
  <dimension ref="A3:E36"/>
  <sheetViews>
    <sheetView showGridLines="0" showRowColHeaders="0" zoomScaleNormal="100" workbookViewId="0">
      <selection activeCell="C10" sqref="C10"/>
    </sheetView>
  </sheetViews>
  <sheetFormatPr defaultRowHeight="15"/>
  <cols>
    <col min="1" max="1" width="31.28515625" style="1" customWidth="1"/>
    <col min="3" max="3" width="38.85546875" customWidth="1"/>
    <col min="4" max="5" width="38.7109375" customWidth="1"/>
  </cols>
  <sheetData>
    <row r="3" spans="3:5" ht="20.25" thickBot="1">
      <c r="C3" s="8" t="s">
        <v>90</v>
      </c>
      <c r="D3" s="6"/>
      <c r="E3" s="6"/>
    </row>
    <row r="4" spans="3:5" ht="25.5" customHeight="1" thickTop="1">
      <c r="C4" s="7" t="s">
        <v>98</v>
      </c>
      <c r="D4" s="7"/>
      <c r="E4" s="7"/>
    </row>
    <row r="7" spans="3:5" ht="9.75" customHeight="1"/>
    <row r="8" spans="3:5" ht="16.5">
      <c r="C8" s="40" t="s">
        <v>94</v>
      </c>
      <c r="D8" s="41"/>
      <c r="E8" s="41"/>
    </row>
    <row r="9" spans="3:5">
      <c r="C9" s="14" t="s">
        <v>91</v>
      </c>
      <c r="D9" s="14" t="s">
        <v>92</v>
      </c>
      <c r="E9" s="14" t="s">
        <v>93</v>
      </c>
    </row>
    <row r="10" spans="3:5" ht="16.5">
      <c r="C10" s="25">
        <v>46292</v>
      </c>
      <c r="D10" s="26" t="s">
        <v>100</v>
      </c>
      <c r="E10" s="27">
        <v>3000</v>
      </c>
    </row>
    <row r="11" spans="3:5" ht="16.5">
      <c r="C11" s="25">
        <v>46293</v>
      </c>
      <c r="D11" s="26" t="s">
        <v>101</v>
      </c>
      <c r="E11" s="27">
        <v>3000</v>
      </c>
    </row>
    <row r="12" spans="3:5" ht="16.5">
      <c r="C12" s="25">
        <v>46294</v>
      </c>
      <c r="D12" s="26" t="s">
        <v>95</v>
      </c>
      <c r="E12" s="27">
        <v>3000</v>
      </c>
    </row>
    <row r="13" spans="3:5" ht="16.5">
      <c r="C13" s="25">
        <v>46295</v>
      </c>
      <c r="D13" s="26" t="s">
        <v>102</v>
      </c>
      <c r="E13" s="27">
        <v>3000</v>
      </c>
    </row>
    <row r="14" spans="3:5" ht="16.5">
      <c r="C14" s="25">
        <v>46296</v>
      </c>
      <c r="D14" s="26" t="s">
        <v>103</v>
      </c>
      <c r="E14" s="27">
        <v>3000</v>
      </c>
    </row>
    <row r="15" spans="3:5" ht="16.5">
      <c r="C15" s="25">
        <v>46297</v>
      </c>
      <c r="D15" s="26" t="s">
        <v>104</v>
      </c>
      <c r="E15" s="27">
        <v>3000</v>
      </c>
    </row>
    <row r="16" spans="3:5" ht="16.5">
      <c r="C16" s="25"/>
      <c r="D16" s="26"/>
      <c r="E16" s="27"/>
    </row>
    <row r="17" spans="3:5" ht="16.5">
      <c r="C17" s="25"/>
      <c r="D17" s="26"/>
      <c r="E17" s="27"/>
    </row>
    <row r="18" spans="3:5" ht="16.5">
      <c r="C18" s="25"/>
      <c r="D18" s="26"/>
      <c r="E18" s="27"/>
    </row>
    <row r="19" spans="3:5" ht="16.5">
      <c r="C19" s="25"/>
      <c r="D19" s="26"/>
      <c r="E19" s="27"/>
    </row>
    <row r="20" spans="3:5" ht="16.5">
      <c r="C20" s="25"/>
      <c r="D20" s="26"/>
      <c r="E20" s="27"/>
    </row>
    <row r="21" spans="3:5" ht="16.5">
      <c r="C21" s="25"/>
      <c r="D21" s="26"/>
      <c r="E21" s="27"/>
    </row>
    <row r="22" spans="3:5" ht="16.5">
      <c r="C22" s="25"/>
      <c r="D22" s="26"/>
      <c r="E22" s="27"/>
    </row>
    <row r="23" spans="3:5" ht="16.5">
      <c r="C23" s="25"/>
      <c r="D23" s="26"/>
      <c r="E23" s="27"/>
    </row>
    <row r="24" spans="3:5" ht="16.5">
      <c r="C24" s="25"/>
      <c r="D24" s="26"/>
      <c r="E24" s="27"/>
    </row>
    <row r="25" spans="3:5" ht="16.5">
      <c r="C25" s="25"/>
      <c r="D25" s="26"/>
      <c r="E25" s="27"/>
    </row>
    <row r="26" spans="3:5" ht="16.5">
      <c r="C26" s="25"/>
      <c r="D26" s="26"/>
      <c r="E26" s="27"/>
    </row>
    <row r="27" spans="3:5" ht="16.5">
      <c r="C27" s="25"/>
      <c r="D27" s="26"/>
      <c r="E27" s="27"/>
    </row>
    <row r="28" spans="3:5" ht="16.5">
      <c r="C28" s="25"/>
      <c r="D28" s="26"/>
      <c r="E28" s="27"/>
    </row>
    <row r="29" spans="3:5" ht="16.5">
      <c r="C29" s="25"/>
      <c r="D29" s="26"/>
      <c r="E29" s="27"/>
    </row>
    <row r="30" spans="3:5" ht="16.5">
      <c r="C30" s="25"/>
      <c r="D30" s="26"/>
      <c r="E30" s="27"/>
    </row>
    <row r="31" spans="3:5" ht="16.5">
      <c r="C31" s="25"/>
      <c r="D31" s="26"/>
      <c r="E31" s="27"/>
    </row>
    <row r="32" spans="3:5" ht="16.5">
      <c r="C32" s="25"/>
      <c r="D32" s="26"/>
      <c r="E32" s="27"/>
    </row>
    <row r="33" spans="3:5" ht="16.5">
      <c r="C33" s="25"/>
      <c r="D33" s="26"/>
      <c r="E33" s="27"/>
    </row>
    <row r="34" spans="3:5" ht="16.5">
      <c r="C34" s="25"/>
      <c r="D34" s="26"/>
      <c r="E34" s="27"/>
    </row>
    <row r="35" spans="3:5" ht="16.5">
      <c r="C35" s="25"/>
      <c r="D35" s="26"/>
      <c r="E35" s="27"/>
    </row>
    <row r="36" spans="3:5" ht="16.5">
      <c r="C36" s="25"/>
      <c r="D36" s="26"/>
      <c r="E36" s="27"/>
    </row>
  </sheetData>
  <sheetProtection sheet="1" selectLockedCells="1"/>
  <mergeCells count="1">
    <mergeCell ref="C8:E8"/>
  </mergeCells>
  <dataValidations count="1">
    <dataValidation type="list" allowBlank="1" showInputMessage="1" showErrorMessage="1" sqref="D10:D36" xr:uid="{D407595F-FF24-47C2-8410-78841333409E}">
      <formula1>"SALÁRIO,PRÓ-LABORE,FREELANCER,APOSENTADORIA,ALUGUEL,DIVIDENDOS"</formula1>
    </dataValidation>
  </dataValidations>
  <printOptions horizontalCentered="1"/>
  <pageMargins left="0.511811024" right="0.511811024" top="0.78740157499999996" bottom="0.78740157499999996" header="0.31496062000000002" footer="0.31496062000000002"/>
  <pageSetup paperSize="9" scale="8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27C9-60EC-4F43-BCA8-8CDB2BEB4E19}">
  <sheetPr codeName="Planilha9">
    <pageSetUpPr fitToPage="1"/>
  </sheetPr>
  <dimension ref="A3:F31"/>
  <sheetViews>
    <sheetView showGridLines="0" showRowColHeaders="0" zoomScaleNormal="100" workbookViewId="0">
      <selection activeCell="C12" sqref="C12"/>
    </sheetView>
  </sheetViews>
  <sheetFormatPr defaultRowHeight="15"/>
  <cols>
    <col min="1" max="1" width="31.28515625" style="1" customWidth="1"/>
    <col min="3" max="4" width="30.7109375" customWidth="1"/>
    <col min="5" max="5" width="30.5703125" customWidth="1"/>
    <col min="6" max="6" width="30.7109375" customWidth="1"/>
  </cols>
  <sheetData>
    <row r="3" spans="3:6" ht="20.25" thickBot="1">
      <c r="C3" s="8" t="s">
        <v>99</v>
      </c>
      <c r="D3" s="6"/>
      <c r="E3" s="6"/>
    </row>
    <row r="4" spans="3:6" ht="25.5" customHeight="1" thickTop="1">
      <c r="C4" s="7" t="s">
        <v>105</v>
      </c>
      <c r="D4" s="7"/>
      <c r="E4" s="7"/>
    </row>
    <row r="7" spans="3:6" ht="11.25" customHeight="1"/>
    <row r="8" spans="3:6" ht="16.5">
      <c r="C8" s="13" t="s">
        <v>117</v>
      </c>
    </row>
    <row r="9" spans="3:6" ht="16.5">
      <c r="C9" s="38">
        <f>SUM(Tabela134[VALOR])</f>
        <v>5000</v>
      </c>
      <c r="D9" s="38"/>
    </row>
    <row r="11" spans="3:6">
      <c r="C11" s="14" t="s">
        <v>91</v>
      </c>
      <c r="D11" s="14" t="s">
        <v>92</v>
      </c>
      <c r="E11" s="14" t="s">
        <v>106</v>
      </c>
      <c r="F11" s="14" t="s">
        <v>93</v>
      </c>
    </row>
    <row r="12" spans="3:6" ht="16.5">
      <c r="C12" s="25">
        <v>46292</v>
      </c>
      <c r="D12" s="26" t="s">
        <v>107</v>
      </c>
      <c r="E12" s="27" t="s">
        <v>112</v>
      </c>
      <c r="F12" s="28">
        <v>1000</v>
      </c>
    </row>
    <row r="13" spans="3:6" ht="16.5">
      <c r="C13" s="25">
        <v>46293</v>
      </c>
      <c r="D13" s="26" t="s">
        <v>108</v>
      </c>
      <c r="E13" s="27" t="s">
        <v>115</v>
      </c>
      <c r="F13" s="28">
        <v>1000</v>
      </c>
    </row>
    <row r="14" spans="3:6" ht="16.5">
      <c r="C14" s="25">
        <v>46294</v>
      </c>
      <c r="D14" s="26" t="s">
        <v>109</v>
      </c>
      <c r="E14" s="27" t="s">
        <v>114</v>
      </c>
      <c r="F14" s="28">
        <v>1000</v>
      </c>
    </row>
    <row r="15" spans="3:6" ht="16.5">
      <c r="C15" s="25">
        <v>46295</v>
      </c>
      <c r="D15" s="26" t="s">
        <v>110</v>
      </c>
      <c r="E15" s="27" t="s">
        <v>113</v>
      </c>
      <c r="F15" s="28">
        <v>1000</v>
      </c>
    </row>
    <row r="16" spans="3:6" ht="16.5">
      <c r="C16" s="25">
        <v>46296</v>
      </c>
      <c r="D16" s="26" t="s">
        <v>111</v>
      </c>
      <c r="E16" s="27" t="s">
        <v>116</v>
      </c>
      <c r="F16" s="28">
        <v>1000</v>
      </c>
    </row>
    <row r="17" spans="3:6" ht="16.5">
      <c r="C17" s="25"/>
      <c r="D17" s="26"/>
      <c r="E17" s="27"/>
      <c r="F17" s="28"/>
    </row>
    <row r="18" spans="3:6" ht="16.5">
      <c r="C18" s="25"/>
      <c r="D18" s="26"/>
      <c r="E18" s="27"/>
      <c r="F18" s="28"/>
    </row>
    <row r="19" spans="3:6" ht="16.5">
      <c r="C19" s="25"/>
      <c r="D19" s="26"/>
      <c r="E19" s="27"/>
      <c r="F19" s="28"/>
    </row>
    <row r="20" spans="3:6" ht="16.5">
      <c r="C20" s="25"/>
      <c r="D20" s="26"/>
      <c r="E20" s="27"/>
      <c r="F20" s="28"/>
    </row>
    <row r="21" spans="3:6" ht="16.5">
      <c r="C21" s="25"/>
      <c r="D21" s="26"/>
      <c r="E21" s="27"/>
      <c r="F21" s="28"/>
    </row>
    <row r="22" spans="3:6" ht="16.5">
      <c r="C22" s="25"/>
      <c r="D22" s="26"/>
      <c r="E22" s="27"/>
      <c r="F22" s="28"/>
    </row>
    <row r="23" spans="3:6" ht="16.5">
      <c r="C23" s="25"/>
      <c r="D23" s="26"/>
      <c r="E23" s="27"/>
      <c r="F23" s="28"/>
    </row>
    <row r="24" spans="3:6" ht="16.5">
      <c r="C24" s="25"/>
      <c r="D24" s="26"/>
      <c r="E24" s="27"/>
      <c r="F24" s="28"/>
    </row>
    <row r="25" spans="3:6" ht="16.5">
      <c r="C25" s="25"/>
      <c r="D25" s="26"/>
      <c r="E25" s="27"/>
      <c r="F25" s="28"/>
    </row>
    <row r="26" spans="3:6" ht="16.5">
      <c r="C26" s="25"/>
      <c r="D26" s="26"/>
      <c r="E26" s="27"/>
      <c r="F26" s="28"/>
    </row>
    <row r="27" spans="3:6" ht="16.5">
      <c r="C27" s="25"/>
      <c r="D27" s="26"/>
      <c r="E27" s="27"/>
      <c r="F27" s="28"/>
    </row>
    <row r="28" spans="3:6" ht="16.5">
      <c r="C28" s="25"/>
      <c r="D28" s="26"/>
      <c r="E28" s="27"/>
      <c r="F28" s="28"/>
    </row>
    <row r="29" spans="3:6" ht="16.5">
      <c r="C29" s="25"/>
      <c r="D29" s="26"/>
      <c r="E29" s="27"/>
      <c r="F29" s="28"/>
    </row>
    <row r="30" spans="3:6" ht="16.5">
      <c r="C30" s="25"/>
      <c r="D30" s="26"/>
      <c r="E30" s="27"/>
      <c r="F30" s="28"/>
    </row>
    <row r="31" spans="3:6" ht="16.5">
      <c r="C31" s="25"/>
      <c r="D31" s="26"/>
      <c r="E31" s="27"/>
      <c r="F31" s="28"/>
    </row>
  </sheetData>
  <sheetProtection sheet="1" selectLockedCells="1"/>
  <mergeCells count="1">
    <mergeCell ref="C9:D9"/>
  </mergeCells>
  <dataValidations count="1">
    <dataValidation type="list" allowBlank="1" showInputMessage="1" showErrorMessage="1" sqref="D12:D31" xr:uid="{7560CFCD-9AA4-42C2-B7E1-E4ADDB0DFA16}">
      <formula1>"SAÚDE - MÉDICO,SAÚDE - EXAME,EDUCAÇÃO - ESCOLA, EDUCAÇÃO - FACULDADE,PREVIDÊNCIA PRIVADA,"</formula1>
    </dataValidation>
  </dataValidations>
  <printOptions horizontalCentered="1"/>
  <pageMargins left="0.511811024" right="0.511811024" top="0.78740157499999996" bottom="0.78740157499999996" header="0.31496062000000002" footer="0.31496062000000002"/>
  <pageSetup paperSize="9" scale="77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B120-ADEC-4F56-87A0-2B75FD7B58CD}">
  <sheetPr codeName="Planilha7">
    <pageSetUpPr fitToPage="1"/>
  </sheetPr>
  <dimension ref="A3:F19"/>
  <sheetViews>
    <sheetView showGridLines="0" showRowColHeaders="0" topLeftCell="A5" workbookViewId="0">
      <selection activeCell="C1" sqref="C1"/>
    </sheetView>
  </sheetViews>
  <sheetFormatPr defaultRowHeight="15"/>
  <cols>
    <col min="1" max="1" width="31.28515625" style="1" customWidth="1"/>
    <col min="2" max="2" width="9.140625" customWidth="1"/>
    <col min="3" max="3" width="35.7109375" customWidth="1"/>
    <col min="4" max="4" width="37.5703125" customWidth="1"/>
    <col min="5" max="5" width="2.42578125" customWidth="1"/>
    <col min="6" max="6" width="32.5703125" customWidth="1"/>
  </cols>
  <sheetData>
    <row r="3" spans="3:6" ht="22.5" customHeight="1" thickBot="1">
      <c r="C3" s="5" t="s">
        <v>118</v>
      </c>
      <c r="D3" s="6"/>
      <c r="E3" s="6"/>
      <c r="F3" s="6"/>
    </row>
    <row r="4" spans="3:6" ht="25.5" customHeight="1" thickTop="1">
      <c r="C4" s="7" t="s">
        <v>119</v>
      </c>
      <c r="D4" s="7"/>
      <c r="E4" s="7"/>
      <c r="F4" s="7"/>
    </row>
    <row r="6" spans="3:6" ht="34.5">
      <c r="C6" s="29" t="s">
        <v>120</v>
      </c>
      <c r="D6" s="30"/>
      <c r="E6" s="30"/>
      <c r="F6" s="30"/>
    </row>
    <row r="7" spans="3:6" ht="6.75" customHeight="1"/>
    <row r="8" spans="3:6" ht="25.5">
      <c r="C8" s="31">
        <f>INFORMES!C7</f>
        <v>1500000</v>
      </c>
      <c r="D8" s="31">
        <f>SUM(Tabela1[VALOR])</f>
        <v>18000</v>
      </c>
      <c r="E8" s="31"/>
      <c r="F8" s="31">
        <f>'DESPESAS DEDUTIVEIS'!C9</f>
        <v>5000</v>
      </c>
    </row>
    <row r="11" spans="3:6" ht="17.25">
      <c r="C11" s="32"/>
    </row>
    <row r="13" spans="3:6" ht="17.25">
      <c r="C13" s="43" t="str">
        <f>TITULAR!D6</f>
        <v>MARIA LUIZA SILVA</v>
      </c>
      <c r="D13" s="43"/>
      <c r="E13" s="34"/>
      <c r="F13" s="49" t="b">
        <v>1</v>
      </c>
    </row>
    <row r="14" spans="3:6" ht="15.75">
      <c r="C14" s="48">
        <f>TITULAR!D7</f>
        <v>12312312322</v>
      </c>
      <c r="D14" s="48"/>
      <c r="E14" s="50"/>
      <c r="F14" s="49" t="b">
        <v>1</v>
      </c>
    </row>
    <row r="15" spans="3:6" ht="15.75">
      <c r="C15" s="45" t="str">
        <f>TITULAR!D10</f>
        <v>JOÃO DOS SANTOS</v>
      </c>
      <c r="D15" s="45"/>
      <c r="E15" s="36"/>
      <c r="F15" s="49" t="b">
        <v>0</v>
      </c>
    </row>
    <row r="16" spans="3:6" ht="15.75">
      <c r="C16" s="44" t="str">
        <f>TITULAR!D11</f>
        <v>RUA DOS LIMOEIROS, Nº180</v>
      </c>
      <c r="D16" s="44"/>
      <c r="E16" s="33"/>
      <c r="F16" s="49" t="b">
        <v>0</v>
      </c>
    </row>
    <row r="17" spans="3:5" ht="15.75">
      <c r="C17" s="47">
        <f>TITULAR!D13</f>
        <v>9450321</v>
      </c>
      <c r="D17" s="47"/>
      <c r="E17" s="51"/>
    </row>
    <row r="18" spans="3:5" ht="15.75">
      <c r="C18" s="46" t="str">
        <f>TITULAR!D16</f>
        <v>LUIZA.MARIA@GMAIL.COM</v>
      </c>
      <c r="D18" s="46"/>
      <c r="E18" s="35"/>
    </row>
    <row r="19" spans="3:5" ht="15.75">
      <c r="C19" s="42" t="str">
        <f>TITULAR!D19</f>
        <v>NÃO</v>
      </c>
      <c r="D19" s="42"/>
      <c r="E19" s="37"/>
    </row>
  </sheetData>
  <sheetProtection sheet="1" selectLockedCells="1"/>
  <mergeCells count="7">
    <mergeCell ref="C19:D19"/>
    <mergeCell ref="C13:D13"/>
    <mergeCell ref="C14:D14"/>
    <mergeCell ref="C15:D15"/>
    <mergeCell ref="C16:D16"/>
    <mergeCell ref="C17:D17"/>
    <mergeCell ref="C18:D18"/>
  </mergeCells>
  <printOptions horizontalCentered="1" verticalCentered="1"/>
  <pageMargins left="0.511811024" right="0.511811024" top="0.78740157499999996" bottom="0.78740157499999996" header="0.31496062000000002" footer="0.31496062000000002"/>
  <pageSetup paperSize="9" scale="86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2DDA-31ED-4784-94F2-711CF4EB4B6E}">
  <sheetPr codeName="Planilha4">
    <pageSetUpPr fitToPage="1"/>
  </sheetPr>
  <dimension ref="B2:B14"/>
  <sheetViews>
    <sheetView workbookViewId="0">
      <selection activeCell="B22" sqref="B22"/>
    </sheetView>
  </sheetViews>
  <sheetFormatPr defaultRowHeight="15"/>
  <sheetData>
    <row r="2" spans="2:2">
      <c r="B2" t="s">
        <v>19</v>
      </c>
    </row>
    <row r="3" spans="2:2">
      <c r="B3" t="s">
        <v>20</v>
      </c>
    </row>
    <row r="4" spans="2:2">
      <c r="B4" t="s">
        <v>21</v>
      </c>
    </row>
    <row r="5" spans="2:2">
      <c r="B5" t="s">
        <v>23</v>
      </c>
    </row>
    <row r="6" spans="2:2">
      <c r="B6" t="s">
        <v>24</v>
      </c>
    </row>
    <row r="7" spans="2:2">
      <c r="B7" t="s">
        <v>82</v>
      </c>
    </row>
    <row r="8" spans="2:2">
      <c r="B8" t="s">
        <v>96</v>
      </c>
    </row>
    <row r="9" spans="2:2">
      <c r="B9" t="s">
        <v>97</v>
      </c>
    </row>
    <row r="11" spans="2:2">
      <c r="B11" t="s">
        <v>121</v>
      </c>
    </row>
    <row r="12" spans="2:2">
      <c r="B12" t="s">
        <v>122</v>
      </c>
    </row>
    <row r="13" spans="2:2">
      <c r="B13" t="s">
        <v>123</v>
      </c>
    </row>
    <row r="14" spans="2:2">
      <c r="B14" t="s">
        <v>124</v>
      </c>
    </row>
  </sheetData>
  <printOptions horizontalCentered="1"/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A08BB-CCC1-4C4E-8C43-B0E3B3321790}">
  <sheetPr codeName="Planilha8">
    <pageSetUpPr fitToPage="1"/>
  </sheetPr>
  <dimension ref="A1:A51"/>
  <sheetViews>
    <sheetView showGridLines="0" topLeftCell="A30" workbookViewId="0">
      <selection activeCell="D8" sqref="D8"/>
    </sheetView>
  </sheetViews>
  <sheetFormatPr defaultRowHeight="15"/>
  <cols>
    <col min="1" max="1" width="39" bestFit="1" customWidth="1"/>
  </cols>
  <sheetData>
    <row r="1" spans="1:1" ht="26.25" customHeight="1">
      <c r="A1" s="10" t="s">
        <v>81</v>
      </c>
    </row>
    <row r="2" spans="1:1">
      <c r="A2" s="11" t="s">
        <v>31</v>
      </c>
    </row>
    <row r="3" spans="1:1">
      <c r="A3" s="11" t="s">
        <v>32</v>
      </c>
    </row>
    <row r="4" spans="1:1">
      <c r="A4" s="11" t="s">
        <v>33</v>
      </c>
    </row>
    <row r="5" spans="1:1">
      <c r="A5" s="11" t="s">
        <v>34</v>
      </c>
    </row>
    <row r="6" spans="1:1">
      <c r="A6" s="11" t="s">
        <v>35</v>
      </c>
    </row>
    <row r="7" spans="1:1">
      <c r="A7" s="11" t="s">
        <v>36</v>
      </c>
    </row>
    <row r="8" spans="1:1">
      <c r="A8" s="11" t="s">
        <v>37</v>
      </c>
    </row>
    <row r="9" spans="1:1">
      <c r="A9" s="11" t="s">
        <v>38</v>
      </c>
    </row>
    <row r="10" spans="1:1">
      <c r="A10" s="11" t="s">
        <v>39</v>
      </c>
    </row>
    <row r="11" spans="1:1">
      <c r="A11" s="11" t="s">
        <v>40</v>
      </c>
    </row>
    <row r="12" spans="1:1">
      <c r="A12" s="11" t="s">
        <v>41</v>
      </c>
    </row>
    <row r="13" spans="1:1">
      <c r="A13" s="11" t="s">
        <v>42</v>
      </c>
    </row>
    <row r="14" spans="1:1">
      <c r="A14" s="11" t="s">
        <v>43</v>
      </c>
    </row>
    <row r="15" spans="1:1">
      <c r="A15" s="11" t="s">
        <v>44</v>
      </c>
    </row>
    <row r="16" spans="1:1">
      <c r="A16" s="11" t="s">
        <v>45</v>
      </c>
    </row>
    <row r="17" spans="1:1">
      <c r="A17" s="11" t="s">
        <v>46</v>
      </c>
    </row>
    <row r="18" spans="1:1">
      <c r="A18" s="11" t="s">
        <v>47</v>
      </c>
    </row>
    <row r="19" spans="1:1">
      <c r="A19" s="11" t="s">
        <v>48</v>
      </c>
    </row>
    <row r="20" spans="1:1">
      <c r="A20" s="11" t="s">
        <v>49</v>
      </c>
    </row>
    <row r="21" spans="1:1">
      <c r="A21" s="11" t="s">
        <v>50</v>
      </c>
    </row>
    <row r="22" spans="1:1">
      <c r="A22" s="11" t="s">
        <v>51</v>
      </c>
    </row>
    <row r="23" spans="1:1">
      <c r="A23" s="11" t="s">
        <v>52</v>
      </c>
    </row>
    <row r="24" spans="1:1">
      <c r="A24" s="11" t="s">
        <v>53</v>
      </c>
    </row>
    <row r="25" spans="1:1">
      <c r="A25" s="11" t="s">
        <v>54</v>
      </c>
    </row>
    <row r="26" spans="1:1">
      <c r="A26" s="11" t="s">
        <v>55</v>
      </c>
    </row>
    <row r="27" spans="1:1">
      <c r="A27" s="11" t="s">
        <v>56</v>
      </c>
    </row>
    <row r="28" spans="1:1">
      <c r="A28" s="11" t="s">
        <v>57</v>
      </c>
    </row>
    <row r="29" spans="1:1">
      <c r="A29" s="11" t="s">
        <v>58</v>
      </c>
    </row>
    <row r="30" spans="1:1">
      <c r="A30" s="11" t="s">
        <v>59</v>
      </c>
    </row>
    <row r="31" spans="1:1">
      <c r="A31" s="11" t="s">
        <v>60</v>
      </c>
    </row>
    <row r="32" spans="1:1">
      <c r="A32" s="11" t="s">
        <v>61</v>
      </c>
    </row>
    <row r="33" spans="1:1">
      <c r="A33" s="11" t="s">
        <v>62</v>
      </c>
    </row>
    <row r="34" spans="1:1">
      <c r="A34" s="11" t="s">
        <v>63</v>
      </c>
    </row>
    <row r="35" spans="1:1">
      <c r="A35" s="11" t="s">
        <v>64</v>
      </c>
    </row>
    <row r="36" spans="1:1">
      <c r="A36" s="11" t="s">
        <v>65</v>
      </c>
    </row>
    <row r="37" spans="1:1">
      <c r="A37" s="11" t="s">
        <v>66</v>
      </c>
    </row>
    <row r="38" spans="1:1">
      <c r="A38" s="11" t="s">
        <v>67</v>
      </c>
    </row>
    <row r="39" spans="1:1">
      <c r="A39" s="11" t="s">
        <v>68</v>
      </c>
    </row>
    <row r="40" spans="1:1">
      <c r="A40" s="11" t="s">
        <v>69</v>
      </c>
    </row>
    <row r="41" spans="1:1">
      <c r="A41" s="11" t="s">
        <v>70</v>
      </c>
    </row>
    <row r="42" spans="1:1">
      <c r="A42" s="11" t="s">
        <v>71</v>
      </c>
    </row>
    <row r="43" spans="1:1">
      <c r="A43" s="11" t="s">
        <v>72</v>
      </c>
    </row>
    <row r="44" spans="1:1">
      <c r="A44" s="11" t="s">
        <v>73</v>
      </c>
    </row>
    <row r="45" spans="1:1">
      <c r="A45" s="11" t="s">
        <v>74</v>
      </c>
    </row>
    <row r="46" spans="1:1">
      <c r="A46" s="11" t="s">
        <v>75</v>
      </c>
    </row>
    <row r="47" spans="1:1">
      <c r="A47" s="11" t="s">
        <v>76</v>
      </c>
    </row>
    <row r="48" spans="1:1">
      <c r="A48" s="11" t="s">
        <v>77</v>
      </c>
    </row>
    <row r="49" spans="1:1">
      <c r="A49" s="11" t="s">
        <v>78</v>
      </c>
    </row>
    <row r="50" spans="1:1">
      <c r="A50" s="11" t="s">
        <v>79</v>
      </c>
    </row>
    <row r="51" spans="1:1">
      <c r="A51" s="11" t="s">
        <v>80</v>
      </c>
    </row>
  </sheetData>
  <printOptions horizontalCentered="1"/>
  <pageMargins left="0.511811024" right="0.511811024" top="0.78740157499999996" bottom="0.78740157499999996" header="0.31496062000000002" footer="0.31496062000000002"/>
  <pageSetup paperSize="9" scale="6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PÁGINA INICIAL</vt:lpstr>
      <vt:lpstr>TITULAR</vt:lpstr>
      <vt:lpstr>INFORMES</vt:lpstr>
      <vt:lpstr>ENTRADAS</vt:lpstr>
      <vt:lpstr>DESPESAS DEDUTIVEIS</vt:lpstr>
      <vt:lpstr>RESUMO FINAL</vt:lpstr>
      <vt:lpstr>Anotações</vt:lpstr>
      <vt:lpstr>Tabelas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 LUIZA LEITE SILVA</dc:creator>
  <cp:keywords/>
  <dc:description/>
  <cp:lastModifiedBy>Maria Silva</cp:lastModifiedBy>
  <cp:revision/>
  <cp:lastPrinted>2026-09-28T16:22:46Z</cp:lastPrinted>
  <dcterms:created xsi:type="dcterms:W3CDTF">2026-09-22T16:16:14Z</dcterms:created>
  <dcterms:modified xsi:type="dcterms:W3CDTF">2026-09-28T16:23:58Z</dcterms:modified>
  <cp:category/>
  <cp:contentStatus/>
</cp:coreProperties>
</file>